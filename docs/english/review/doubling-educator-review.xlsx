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ummary" sheetId="2" state="visible" r:id="rId4"/>
    <sheet name="Questions" sheetId="3" state="visible" r:id="rId5"/>
    <sheet name="Lessons" sheetId="4" state="visible" r:id="rId6"/>
    <sheet name="Hints" sheetId="5" state="visible" r:id="rId7"/>
    <sheet name="Practice words" sheetId="6" state="visible" r:id="rId8"/>
    <sheet name="Thresholds" sheetId="7" state="visible" r:id="rId9"/>
    <sheet name="Parent wording" sheetId="8" state="visible" r:id="rId10"/>
    <sheet name="Overgeneralisation" sheetId="9" state="visible" r:id="rId1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Row counts are taken from the content files when the workbook is built.</t>
        </r>
      </text>
    </comment>
  </commentList>
</comments>
</file>

<file path=xl/sharedStrings.xml><?xml version="1.0" encoding="utf-8"?>
<sst xmlns="http://schemas.openxmlformats.org/spreadsheetml/2006/main" count="644" uniqueCount="436">
  <si>
    <t xml:space="preserve">OpenPath: educator review of the consonant-doubling journey</t>
  </si>
  <si>
    <t xml:space="preserve">What this is</t>
  </si>
  <si>
    <t xml:space="preserve">Every question, lesson, hint, practice word, draft threshold and parent-facing sentence in the doubling journey, exactly as the app shows them. Nothing here has been reviewed by an educator yet. The notes in orange cells are the developer's concerns for you to accept or reject; they are not educational judgements.</t>
  </si>
  <si>
    <t xml:space="preserve">What your decisions change</t>
  </si>
  <si>
    <t xml:space="preserve">Approved questions can be switched from 'provisional' to 'validated' (a one-line change per question, recorded with your initials and date). Until then, answers to them never change a learner's levels and never support a mastery claim. Nothing is marked approved without a named reviewer and date in this workbook.</t>
  </si>
  <si>
    <t xml:space="preserve">How to fill it in</t>
  </si>
  <si>
    <t xml:space="preserve">1. Work through the sheets left to right. Only the yellow cells are for you.</t>
  </si>
  <si>
    <t xml:space="preserve">2. Reviewer decision: choose Approve, Approve with changes, Reject or Needs discussion from the list.</t>
  </si>
  <si>
    <t xml:space="preserve">3. Required change: if you want different wording, write the exact new wording. If you reject, say why in a few words.</t>
  </si>
  <si>
    <t xml:space="preserve">4. Add your initials and the date on every row you decide. The 'Summary' sheet counts what is still undecided.</t>
  </si>
  <si>
    <t xml:space="preserve">5. The 'Overgeneralisation' sheet lists statements we think are too broad. Please decide each one; lessons and hints cannot be approved while a flag on them is open.</t>
  </si>
  <si>
    <t xml:space="preserve">Example row (format only; not a real decision)</t>
  </si>
  <si>
    <t xml:space="preserve">(example) spl.infl.18</t>
  </si>
  <si>
    <t xml:space="preserve">Approve with changes</t>
  </si>
  <si>
    <t xml:space="preserve">Change 'Dad is ___ the onions.' to 'Dad is ___ the carrots.' (onions is fine; carrots is more familiar to younger pupils)</t>
  </si>
  <si>
    <t xml:space="preserve">AB</t>
  </si>
  <si>
    <t xml:space="preserve">2026-10-20</t>
  </si>
  <si>
    <t xml:space="preserve">Legend</t>
  </si>
  <si>
    <t xml:space="preserve">Yellow: for the reviewer to fill in</t>
  </si>
  <si>
    <t xml:space="preserve">Orange: a concern raised by the developer, for you to accept or reject</t>
  </si>
  <si>
    <t xml:space="preserve">Grey: example of the expected format only</t>
  </si>
  <si>
    <t xml:space="preserve">Scope: one rule (doubling the final consonant before -ing, -ed, -er, -est), for learners aged about 7–11 using the app with an adult.</t>
  </si>
  <si>
    <t xml:space="preserve">Out of scope here: the rest of the 780-question bank, the other seven inflection rules, and the scoring model.</t>
  </si>
  <si>
    <t xml:space="preserve">Source of everything quoted: content/english/web/doubling-journey.json, content/english/spelling/generated-items.json, and the app's screen code (file named on each row of 'Parent wording').</t>
  </si>
  <si>
    <t xml:space="preserve">Sheet</t>
  </si>
  <si>
    <t xml:space="preserve">Rows to review</t>
  </si>
  <si>
    <t xml:space="preserve">Decided</t>
  </si>
  <si>
    <t xml:space="preserve">Approved (incl. with changes)</t>
  </si>
  <si>
    <t xml:space="preserve">Rejected</t>
  </si>
  <si>
    <t xml:space="preserve">Still undecided</t>
  </si>
  <si>
    <t xml:space="preserve">Questions</t>
  </si>
  <si>
    <t xml:space="preserve">Lessons</t>
  </si>
  <si>
    <t xml:space="preserve">Hints</t>
  </si>
  <si>
    <t xml:space="preserve">Practice words</t>
  </si>
  <si>
    <t xml:space="preserve">Thresholds</t>
  </si>
  <si>
    <t xml:space="preserve">Parent wording</t>
  </si>
  <si>
    <t xml:space="preserve">Overgeneralisation</t>
  </si>
  <si>
    <t xml:space="preserve">Total</t>
  </si>
  <si>
    <t xml:space="preserve">Questions approved and ready to switch to 'validated'</t>
  </si>
  <si>
    <t xml:space="preserve">Overgeneralisation flags still open</t>
  </si>
  <si>
    <t xml:space="preserve">Questions marked 'Approve with changes' are switched only after the change is made and re-checked.</t>
  </si>
  <si>
    <t xml:space="preserve">#</t>
  </si>
  <si>
    <t xml:space="preserve">ID</t>
  </si>
  <si>
    <t xml:space="preserve">Exact prompt (as shown)</t>
  </si>
  <si>
    <t xml:space="preserve">Accepted answer</t>
  </si>
  <si>
    <t xml:space="preserve">Tagged wrong answer → error type</t>
  </si>
  <si>
    <t xml:space="preserve">Rule tested</t>
  </si>
  <si>
    <t xml:space="preserve">Application or contrast</t>
  </si>
  <si>
    <t xml:space="preserve">Where the journey uses it</t>
  </si>
  <si>
    <t xml:space="preserve">Developer note</t>
  </si>
  <si>
    <t xml:space="preserve">Ambiguity risks (please check)</t>
  </si>
  <si>
    <t xml:space="preserve">Validation status now</t>
  </si>
  <si>
    <t xml:space="preserve">Counts towards levels now?</t>
  </si>
  <si>
    <t xml:space="preserve">Age / vocabulary suitable? (Y/N + note)</t>
  </si>
  <si>
    <t xml:space="preserve">Reviewer decision</t>
  </si>
  <si>
    <t xml:space="preserve">Required change (exact new wording if any)</t>
  </si>
  <si>
    <t xml:space="preserve">Reviewer initials</t>
  </si>
  <si>
    <t xml:space="preserve">Date reviewed</t>
  </si>
  <si>
    <t xml:space="preserve">spl.infl.j02</t>
  </si>
  <si>
    <t xml:space="preserve">Write the -ing form of swim: She is ___ in the lake.</t>
  </si>
  <si>
    <t xml:space="preserve">swimming</t>
  </si>
  <si>
    <t xml:space="preserve">swiming → no doubling</t>
  </si>
  <si>
    <t xml:space="preserve">Double the final consonant of a one-syllable word ending in one vowel letter + one consonant letter, before a vowel suffix</t>
  </si>
  <si>
    <t xml:space="preserve">Application (must double)</t>
  </si>
  <si>
    <t xml:space="preserve">Diagnostic check, reassessment after teaching, or the delayed check (whichever comes first, unseen only)</t>
  </si>
  <si>
    <t xml:space="preserve">Copy of bank item spl.infl.02 for the journey. 'swim' is very familiar; easy start.</t>
  </si>
  <si>
    <t xml:space="preserve">Regional: none. A child may write 'swiming' (no doubling) or 'swimmming' (over-doubling, not tagged).</t>
  </si>
  <si>
    <t xml:space="preserve">provisional (review: candidate-unvalidated)</t>
  </si>
  <si>
    <t xml:space="preserve">No: answers are recorded but never change levels or support a mastery claim</t>
  </si>
  <si>
    <t xml:space="preserve">spl.infl.18</t>
  </si>
  <si>
    <t xml:space="preserve">Write the -ing form of chop: Dad is ___ the onions.</t>
  </si>
  <si>
    <t xml:space="preserve">chopping</t>
  </si>
  <si>
    <t xml:space="preserve">choping → no doubling</t>
  </si>
  <si>
    <t xml:space="preserve">Common verb; cooking context.</t>
  </si>
  <si>
    <t xml:space="preserve">None expected. 'cutting' is not accepted because the root word is given.</t>
  </si>
  <si>
    <t xml:space="preserve">spl.infl.24</t>
  </si>
  <si>
    <t xml:space="preserve">Write the -ing form of jump: The frog is ___ into the pond.</t>
  </si>
  <si>
    <t xml:space="preserve">jumping</t>
  </si>
  <si>
    <t xml:space="preserve">jumpping → over doubling</t>
  </si>
  <si>
    <t xml:space="preserve">Do not double when the word ends in two consonants or has two vowel letters before the last consonant</t>
  </si>
  <si>
    <t xml:space="preserve">Contrast (must not double)</t>
  </si>
  <si>
    <t xml:space="preserve">Diagnostic check only (contrast questions are not used after teaching)</t>
  </si>
  <si>
    <t xml:space="preserve">Contrast: two final consonants (mp), so no doubling.</t>
  </si>
  <si>
    <t xml:space="preserve">Tests only clusters. It does not test w/x/y endings, unstressed syllables or vowel teams after teaching (see Overgeneralisation).</t>
  </si>
  <si>
    <t xml:space="preserve">spl.infl.19</t>
  </si>
  <si>
    <t xml:space="preserve">Write the past tense of stop: The bus ___ outside the school.</t>
  </si>
  <si>
    <t xml:space="preserve">stopped</t>
  </si>
  <si>
    <t xml:space="preserve">stoped → no doubling</t>
  </si>
  <si>
    <t xml:space="preserve">Past tense -ed, not only -ing.</t>
  </si>
  <si>
    <t xml:space="preserve">Some children write 'stopt' (phonetic) or 'stops' (wrong tense); both marked wrong, neither tagged as a doubling error.</t>
  </si>
  <si>
    <t xml:space="preserve">spl.infl.22</t>
  </si>
  <si>
    <t xml:space="preserve">Write the -ing form of trim: Grandpa is ___ the hedge.</t>
  </si>
  <si>
    <t xml:space="preserve">trimming</t>
  </si>
  <si>
    <t xml:space="preserve">triming → no doubling</t>
  </si>
  <si>
    <t xml:space="preserve">Less familiar verb.</t>
  </si>
  <si>
    <t xml:space="preserve">'trim' may be unfamiliar to younger pupils; vocabulary, not spelling, could cause errors.</t>
  </si>
  <si>
    <t xml:space="preserve">spl.infl.21</t>
  </si>
  <si>
    <t xml:space="preserve">One word in this sentence is wrong. Type the correct word: "The dog was diging in the garden."</t>
  </si>
  <si>
    <t xml:space="preserve">digging</t>
  </si>
  <si>
    <t xml:space="preserve">diging → no doubling</t>
  </si>
  <si>
    <t xml:space="preserve">Correction format: the child must find the wrong word and retype it.</t>
  </si>
  <si>
    <t xml:space="preserve">A child may retype the whole sentence; the app expects one word. Check the instruction is clear for the age group.</t>
  </si>
  <si>
    <t xml:space="preserve">spl.infl.20</t>
  </si>
  <si>
    <t xml:space="preserve">Add -er to big: An elephant is ___ than a horse.</t>
  </si>
  <si>
    <t xml:space="preserve">bigger</t>
  </si>
  <si>
    <t xml:space="preserve">biger → no doubling</t>
  </si>
  <si>
    <t xml:space="preserve">Comparative -er.</t>
  </si>
  <si>
    <t xml:space="preserve">None expected.</t>
  </si>
  <si>
    <t xml:space="preserve">spl.infl.j11</t>
  </si>
  <si>
    <t xml:space="preserve">Write the -ing form of run: Look, the dog is ___ after the ball.</t>
  </si>
  <si>
    <t xml:space="preserve">running</t>
  </si>
  <si>
    <t xml:space="preserve">runing → no doubling</t>
  </si>
  <si>
    <t xml:space="preserve">Copy of bank item spl.infl.11 for the journey.</t>
  </si>
  <si>
    <t xml:space="preserve">spl.infl.23</t>
  </si>
  <si>
    <t xml:space="preserve">Add -est to wet: Today was the ___ day of the monsoon.</t>
  </si>
  <si>
    <t xml:space="preserve">wettest</t>
  </si>
  <si>
    <t xml:space="preserve">wetest → no doubling</t>
  </si>
  <si>
    <t xml:space="preserve">Superlative -est; monsoon context.</t>
  </si>
  <si>
    <t xml:space="preserve">Context suits learners in South Asia; check it suits your pupils. 'wetest' is the tagged error.</t>
  </si>
  <si>
    <t xml:space="preserve">spl.infl.25</t>
  </si>
  <si>
    <t xml:space="preserve">One word in this sentence is wrong. Type the correct word: "It rainned all afternoon."</t>
  </si>
  <si>
    <t xml:space="preserve">rained</t>
  </si>
  <si>
    <t xml:space="preserve">rainned → over doubling</t>
  </si>
  <si>
    <t xml:space="preserve">Contrast: vowel team (ai), so no doubling. Correction format.</t>
  </si>
  <si>
    <t xml:space="preserve">As 21: format may confuse. The only contrast with a vowel team.</t>
  </si>
  <si>
    <t xml:space="preserve">Strategy ID</t>
  </si>
  <si>
    <t xml:space="preserve">Name</t>
  </si>
  <si>
    <t xml:space="preserve">Lesson title</t>
  </si>
  <si>
    <t xml:space="preserve">Learning objective (developer's draft)</t>
  </si>
  <si>
    <t xml:space="preserve">Steps (exact)</t>
  </si>
  <si>
    <t xml:space="preserve">Examples (exact)</t>
  </si>
  <si>
    <t xml:space="preserve">Tip (exact)</t>
  </si>
  <si>
    <t xml:space="preserve">What the explanation claims</t>
  </si>
  <si>
    <t xml:space="preserve">Possible misconception it could create</t>
  </si>
  <si>
    <t xml:space="preserve">Independent follow-up check</t>
  </si>
  <si>
    <t xml:space="preserve">worked_examples</t>
  </si>
  <si>
    <t xml:space="preserve">Rule and worked examples</t>
  </si>
  <si>
    <t xml:space="preserve">Doubling the last letter</t>
  </si>
  <si>
    <t xml:space="preserve">Recognise when a one-syllable word needs its last consonant doubled before -ing, -ed, -er or -est, and when it does not.</t>
  </si>
  <si>
    <t xml:space="preserve">1. Look at the end of the word.
2. One vowel, then one consonant? Double the consonant before -ing, -ed, -er or -est.
3. Two consonants at the end, or two vowels before the last letter? Just add the ending.</t>
  </si>
  <si>
    <t xml:space="preserve">stop → stopped  (one vowel (o), one consonant (p): double)
swim → swimming  (one vowel (i), one consonant (m): double)
jump → jumping  (two consonants (mp): no change)</t>
  </si>
  <si>
    <t xml:space="preserve">hopping comes from hop; hoping comes from hope.</t>
  </si>
  <si>
    <t xml:space="preserve">States a letter-pattern rule (one vowel + one consonant → double) with two doubling examples and one cluster contrast.</t>
  </si>
  <si>
    <t xml:space="preserve">Learner may apply the rule to any word ending vowel + consonant, including fix → 'fixxing', snow → 'snowwing', visit → 'visitted', open → 'openning', and to consonant suffixes (sad → 'saddly').</t>
  </si>
  <si>
    <t xml:space="preserve">The app's check: 2 unseen 'must double' questions on the learner's own, no hints. No contrast question is asked after teaching, so a learner who now doubles everything would still pass.</t>
  </si>
  <si>
    <t xml:space="preserve">sound_first</t>
  </si>
  <si>
    <t xml:space="preserve">Listen for the short vowel</t>
  </si>
  <si>
    <t xml:space="preserve">Listen to the vowel</t>
  </si>
  <si>
    <t xml:space="preserve">Use the short vowel sound in a one-syllable word to decide whether to double the last consonant.</t>
  </si>
  <si>
    <t xml:space="preserve">1. Say the word out loud.
2. Do you hear a short vowel, as in cat, sit, hop or cup?
3. A short vowel before one consonant needs a double letter to stay short: tap → tapping.</t>
  </si>
  <si>
    <t xml:space="preserve">hop → hopping  (short o: double p)
hope → hoping  (long o: no double)
tap → tapping, tape → taping  (short a doubles; long a does not)</t>
  </si>
  <si>
    <t xml:space="preserve">The double letter is a guard that keeps the vowel short.</t>
  </si>
  <si>
    <t xml:space="preserve">Links doubling to vowel length (short vowel: double; long vowel / split digraph: no double), contrasting hop/hope and tap/tape.</t>
  </si>
  <si>
    <t xml:space="preserve">Learner may double after any short vowel sound: head → 'headding', visit → 'visitting', panic → 'panicing/panicc', fix → 'fixxing'. Vowel length also varies by accent.</t>
  </si>
  <si>
    <t xml:space="preserve">word_building</t>
  </si>
  <si>
    <t xml:space="preserve">Build the word in parts</t>
  </si>
  <si>
    <t xml:space="preserve">Build the word in three parts</t>
  </si>
  <si>
    <t xml:space="preserve">Build the inflected word from root + optional extra consonant + ending, deciding first whether the extra letter is needed.</t>
  </si>
  <si>
    <t xml:space="preserve">1. Part 1: the root word (hop).
2. Part 2: an extra copy of the last letter, only if the root ends in one vowel + one consonant (p).
3. Part 3: the ending (-ing). Put them together: hop + p + ing = hopping.</t>
  </si>
  <si>
    <t xml:space="preserve">chop + p + ing = chopping  (o then p: add a p)
rain + ed = rained  (two vowels (ai): nothing extra)
jump + ing = jumping  (two consonants (mp): nothing extra)</t>
  </si>
  <si>
    <t xml:space="preserve">Sort first: does it need the extra letter or not?</t>
  </si>
  <si>
    <t xml:space="preserve">Morphological: root | doubled letter (if one vowel + one consonant) | suffix, with a vowel-team and a cluster contrast.</t>
  </si>
  <si>
    <t xml:space="preserve">Same pattern rule as worked_examples, so the same overgeneralisation (w/x/y, unstressed final syllables, consonant suffixes).</t>
  </si>
  <si>
    <t xml:space="preserve">Strategy</t>
  </si>
  <si>
    <t xml:space="preserve">Level</t>
  </si>
  <si>
    <t xml:space="preserve">Template (exact)</t>
  </si>
  <si>
    <t xml:space="preserve">As shown for clap + -ing</t>
  </si>
  <si>
    <t xml:space="preserve">As shown for skip + -ed</t>
  </si>
  <si>
    <t xml:space="preserve">Developer concern</t>
  </si>
  <si>
    <t xml:space="preserve">Look at the end of the word: one vowel, then one consonant?</t>
  </si>
  <si>
    <t xml:space="preserve">{base} ends in one vowel and one consonant ({last}). What happens to the {last}?</t>
  </si>
  <si>
    <t xml:space="preserve">clap ends in one vowel and one consonant (p). What happens to the p?</t>
  </si>
  <si>
    <t xml:space="preserve">skip ends in one vowel and one consonant (p). What happens to the p?</t>
  </si>
  <si>
    <t xml:space="preserve">Double it: {base} + {last} + {ending}.</t>
  </si>
  <si>
    <t xml:space="preserve">Double it: clap + p + ing.</t>
  </si>
  <si>
    <t xml:space="preserve">Double it: skip + p + ed.</t>
  </si>
  <si>
    <t xml:space="preserve">Gives the answer: the child only has to join three parts. Is level 3 meant to be a model answer?</t>
  </si>
  <si>
    <t xml:space="preserve">Say {base} out loud. Is the vowel short, as in cat or sit?</t>
  </si>
  <si>
    <t xml:space="preserve">Say clap out loud. Is the vowel short, as in cat or sit?</t>
  </si>
  <si>
    <t xml:space="preserve">Say skip out loud. Is the vowel short, as in cat or sit?</t>
  </si>
  <si>
    <t xml:space="preserve">Relies on hearing vowel length, which varies by accent and is hard for some children.</t>
  </si>
  <si>
    <t xml:space="preserve">The short vowel needs a guard: the {last} doubles.</t>
  </si>
  <si>
    <t xml:space="preserve">The short vowel needs a guard: the p doubles.</t>
  </si>
  <si>
    <t xml:space="preserve">States as a fact that a short vowel 'needs a guard'. True for these one-syllable words; overgeneralises beyond them.</t>
  </si>
  <si>
    <t xml:space="preserve">{base} + {last} + {ending}.</t>
  </si>
  <si>
    <t xml:space="preserve">clap + p + ing.</t>
  </si>
  <si>
    <t xml:space="preserve">skip + p + ed.</t>
  </si>
  <si>
    <t xml:space="preserve">Gives the answer.</t>
  </si>
  <si>
    <t xml:space="preserve">Split it: {base} | ? | {ending}. Does {base} end in one vowel and one consonant?</t>
  </si>
  <si>
    <t xml:space="preserve">Split it: clap | ? | ing. Does clap end in one vowel and one consonant?</t>
  </si>
  <si>
    <t xml:space="preserve">Split it: skip | ? | ed. Does skip end in one vowel and one consonant?</t>
  </si>
  <si>
    <t xml:space="preserve">Yes, so the middle part is another {last}.</t>
  </si>
  <si>
    <t xml:space="preserve">Yes, so the middle part is another p.</t>
  </si>
  <si>
    <t xml:space="preserve">Root</t>
  </si>
  <si>
    <t xml:space="preserve">Ending</t>
  </si>
  <si>
    <t xml:space="preserve">Prompt (exact)</t>
  </si>
  <si>
    <t xml:space="preserve">Answer</t>
  </si>
  <si>
    <t xml:space="preserve">Tagged wrong answer</t>
  </si>
  <si>
    <t xml:space="preserve">Explanation stored with the item (not shown in the journey)</t>
  </si>
  <si>
    <t xml:space="preserve">gen.infl.add_ending.clapping</t>
  </si>
  <si>
    <t xml:space="preserve">clap</t>
  </si>
  <si>
    <t xml:space="preserve">-ing</t>
  </si>
  <si>
    <t xml:space="preserve">Add -ing to "clap" and write the new word.</t>
  </si>
  <si>
    <t xml:space="preserve">clapping</t>
  </si>
  <si>
    <t xml:space="preserve">claping → no doubling</t>
  </si>
  <si>
    <t xml:space="preserve">clap has one syllable, one short vowel and one final consonant, so the last letter doubles before -ing: clapping.</t>
  </si>
  <si>
    <t xml:space="preserve">gen.infl.add_ending.cutting</t>
  </si>
  <si>
    <t xml:space="preserve">cut</t>
  </si>
  <si>
    <t xml:space="preserve">Add -ing to "cut" and write the new word.</t>
  </si>
  <si>
    <t xml:space="preserve">cutting</t>
  </si>
  <si>
    <t xml:space="preserve">cuting → no doubling</t>
  </si>
  <si>
    <t xml:space="preserve">cut has one syllable, one short vowel and one final consonant, so the last letter doubles before -ing: cutting.</t>
  </si>
  <si>
    <t xml:space="preserve">gen.infl.add_ending.dipped</t>
  </si>
  <si>
    <t xml:space="preserve">dip</t>
  </si>
  <si>
    <t xml:space="preserve">-ed</t>
  </si>
  <si>
    <t xml:space="preserve">Add -ed to "dip" and write the new word.</t>
  </si>
  <si>
    <t xml:space="preserve">dipped</t>
  </si>
  <si>
    <t xml:space="preserve">diped → no doubling</t>
  </si>
  <si>
    <t xml:space="preserve">dip has one syllable, one short vowel and one final consonant, so the last letter doubles before -ed: dipped.</t>
  </si>
  <si>
    <t xml:space="preserve">gen.infl.add_ending.fitting</t>
  </si>
  <si>
    <t xml:space="preserve">fit</t>
  </si>
  <si>
    <t xml:space="preserve">Add -ing to "fit" and write the new word.</t>
  </si>
  <si>
    <t xml:space="preserve">fitting</t>
  </si>
  <si>
    <t xml:space="preserve">fiting → no doubling</t>
  </si>
  <si>
    <t xml:space="preserve">fit has one syllable, one short vowel and one final consonant, so the last letter doubles before -ing: fitting.</t>
  </si>
  <si>
    <t xml:space="preserve">gen.infl.add_ending.jogging</t>
  </si>
  <si>
    <t xml:space="preserve">jog</t>
  </si>
  <si>
    <t xml:space="preserve">Add -ing to "jog" and write the new word.</t>
  </si>
  <si>
    <t xml:space="preserve">jogging</t>
  </si>
  <si>
    <t xml:space="preserve">joging → no doubling</t>
  </si>
  <si>
    <t xml:space="preserve">jog has one syllable, one short vowel and one final consonant, so the last letter doubles before -ing: jogging.</t>
  </si>
  <si>
    <t xml:space="preserve">gen.infl.add_ending.mapping</t>
  </si>
  <si>
    <t xml:space="preserve">map</t>
  </si>
  <si>
    <t xml:space="preserve">Add -ing to "map" and write the new word.</t>
  </si>
  <si>
    <t xml:space="preserve">mapping</t>
  </si>
  <si>
    <t xml:space="preserve">maping → no doubling</t>
  </si>
  <si>
    <t xml:space="preserve">map has one syllable, one short vowel and one final consonant, so the last letter doubles before -ing: mapping.</t>
  </si>
  <si>
    <t xml:space="preserve">gen.infl.add_ending.shopping</t>
  </si>
  <si>
    <t xml:space="preserve">shop</t>
  </si>
  <si>
    <t xml:space="preserve">Add -ing to "shop" and write the new word.</t>
  </si>
  <si>
    <t xml:space="preserve">shopping</t>
  </si>
  <si>
    <t xml:space="preserve">shoping → no doubling</t>
  </si>
  <si>
    <t xml:space="preserve">shop has one syllable, one short vowel and one final consonant, so the last letter doubles before -ing: shopping.</t>
  </si>
  <si>
    <t xml:space="preserve">gen.infl.add_ending.sitting</t>
  </si>
  <si>
    <t xml:space="preserve">sit</t>
  </si>
  <si>
    <t xml:space="preserve">Add -ing to "sit" and write the new word.</t>
  </si>
  <si>
    <t xml:space="preserve">sitting</t>
  </si>
  <si>
    <t xml:space="preserve">sit has one syllable, one short vowel and one final consonant, so the last letter doubles before -ing: sitting.</t>
  </si>
  <si>
    <t xml:space="preserve">No tagged wrong answer: the undoubled form is a real word (site + ing), so a wrong answer is not labelled as a doubling error.</t>
  </si>
  <si>
    <t xml:space="preserve">gen.infl.add_ending.skipped</t>
  </si>
  <si>
    <t xml:space="preserve">skip</t>
  </si>
  <si>
    <t xml:space="preserve">Add -ed to "skip" and write the new word.</t>
  </si>
  <si>
    <t xml:space="preserve">skipped</t>
  </si>
  <si>
    <t xml:space="preserve">skiped → no doubling</t>
  </si>
  <si>
    <t xml:space="preserve">skip has one syllable, one short vowel and one final consonant, so the last letter doubles before -ed: skipped.</t>
  </si>
  <si>
    <t xml:space="preserve">gen.infl.add_ending.spinning</t>
  </si>
  <si>
    <t xml:space="preserve">spin</t>
  </si>
  <si>
    <t xml:space="preserve">Add -ing to "spin" and write the new word.</t>
  </si>
  <si>
    <t xml:space="preserve">spinning</t>
  </si>
  <si>
    <t xml:space="preserve">spining → no doubling</t>
  </si>
  <si>
    <t xml:space="preserve">spin has one syllable, one short vowel and one final consonant, so the last letter doubles before -ing: spinning.</t>
  </si>
  <si>
    <t xml:space="preserve">gen.infl.add_ending.winning</t>
  </si>
  <si>
    <t xml:space="preserve">win</t>
  </si>
  <si>
    <t xml:space="preserve">Add -ing to "win" and write the new word.</t>
  </si>
  <si>
    <t xml:space="preserve">winning</t>
  </si>
  <si>
    <t xml:space="preserve">win has one syllable, one short vowel and one final consonant, so the last letter doubles before -ing: winning.</t>
  </si>
  <si>
    <t xml:space="preserve">No tagged wrong answer: the undoubled form is a real word (wine + ing), so a wrong answer is not labelled as a doubling error.</t>
  </si>
  <si>
    <t xml:space="preserve">gen.infl.add_ending.zipping</t>
  </si>
  <si>
    <t xml:space="preserve">zip</t>
  </si>
  <si>
    <t xml:space="preserve">Add -ing to "zip" and write the new word.</t>
  </si>
  <si>
    <t xml:space="preserve">zipping</t>
  </si>
  <si>
    <t xml:space="preserve">ziping → no doubling</t>
  </si>
  <si>
    <t xml:space="preserve">zip has one syllable, one short vowel and one final consonant, so the last letter doubles before -ing: zipping.</t>
  </si>
  <si>
    <t xml:space="preserve">Concern for the whole set</t>
  </si>
  <si>
    <t xml:space="preserve">All 12 practice words double. Guided practice never shows a word that must not double, so practice may reinforce 'always double'. Please say whether contrast words should be added before testing with children.</t>
  </si>
  <si>
    <t xml:space="preserve">Policy</t>
  </si>
  <si>
    <t xml:space="preserve">Setting</t>
  </si>
  <si>
    <t xml:space="preserve">Draft value</t>
  </si>
  <si>
    <t xml:space="preserve">What it means for a child</t>
  </si>
  <si>
    <t xml:space="preserve">Suggested value (if different)</t>
  </si>
  <si>
    <t xml:space="preserve">planner-policy@0-draft</t>
  </si>
  <si>
    <t xml:space="preserve">diagnosticMax</t>
  </si>
  <si>
    <t xml:space="preserve">At most 5 questions on their own before teaching (fewer once the same error is seen twice or the rule looks weak).</t>
  </si>
  <si>
    <t xml:space="preserve">guidedItems</t>
  </si>
  <si>
    <t xml:space="preserve">4 practice words with help in each teaching block.</t>
  </si>
  <si>
    <t xml:space="preserve">hintLevels</t>
  </si>
  <si>
    <t xml:space="preserve">Up to 3 hints per practice word.</t>
  </si>
  <si>
    <t xml:space="preserve">reassessItems</t>
  </si>
  <si>
    <t xml:space="preserve">2 unseen words on their own after each lesson.</t>
  </si>
  <si>
    <t xml:space="preserve">reassessPassMin</t>
  </si>
  <si>
    <t xml:space="preserve">Both must be right for the lesson to count as having worked.</t>
  </si>
  <si>
    <t xml:space="preserve">maxStrategiesBeforeHuman</t>
  </si>
  <si>
    <t xml:space="preserve">After 3 different lessons have not worked, stop and recommend a teacher or parent.</t>
  </si>
  <si>
    <t xml:space="preserve">retentionGapDays</t>
  </si>
  <si>
    <t xml:space="preserve">The delayed check is offered from 7 days after the last answer.</t>
  </si>
  <si>
    <t xml:space="preserve">retentionItems</t>
  </si>
  <si>
    <t xml:space="preserve">2 unseen words in the delayed check.</t>
  </si>
  <si>
    <t xml:space="preserve">rule-evidence-policy@0-draft</t>
  </si>
  <si>
    <t xml:space="preserve">demonstratedMinApplications</t>
  </si>
  <si>
    <t xml:space="preserve">'Shown on new words' needs at least 4 'must double' answers on their own (smallest passing records: 4/4, 5/5, 5/6, 6/7, 7/8).</t>
  </si>
  <si>
    <t xml:space="preserve">demonstratedMinContrastCorrect</t>
  </si>
  <si>
    <t xml:space="preserve">...and at least 1 'must not double' answer right.</t>
  </si>
  <si>
    <t xml:space="preserve">window</t>
  </si>
  <si>
    <t xml:space="preserve">Only the most recent 8 answers are considered.</t>
  </si>
  <si>
    <t xml:space="preserve">weakRate / weakProbability</t>
  </si>
  <si>
    <t xml:space="preserve">0.5 / 0.8</t>
  </si>
  <si>
    <t xml:space="preserve">'Not yet' when it is at least 80% likely that fewer than half would be right.</t>
  </si>
  <si>
    <t xml:space="preserve">activeMinErrors</t>
  </si>
  <si>
    <t xml:space="preserve">The same error type on 2 different words, on their own, is reported as a pattern.</t>
  </si>
  <si>
    <t xml:space="preserve">delayedGapDays / delayedMinApplications</t>
  </si>
  <si>
    <t xml:space="preserve">7 / 2</t>
  </si>
  <si>
    <t xml:space="preserve">The delayed check needs 2 answers at least 7 days after the previous evidence, with no practice earlier in that session.</t>
  </si>
  <si>
    <t xml:space="preserve">app</t>
  </si>
  <si>
    <t xml:space="preserve">JOURNEY_IDLE_MS</t>
  </si>
  <si>
    <t xml:space="preserve">6 hours</t>
  </si>
  <si>
    <t xml:space="preserve">A journey left open for 6 hours is closed when next opened.</t>
  </si>
  <si>
    <t xml:space="preserve">These values are drafts. This review records opinions on them; changing any of them is a separate decision and is not part of this pilot preparation.</t>
  </si>
  <si>
    <t xml:space="preserve">Reader</t>
  </si>
  <si>
    <t xml:space="preserve">Where</t>
  </si>
  <si>
    <t xml:space="preserve">Exact text ({…} = filled in by the app)</t>
  </si>
  <si>
    <t xml:space="preserve">Source file</t>
  </si>
  <si>
    <t xml:space="preserve">Child</t>
  </si>
  <si>
    <t xml:space="preserve">Today card</t>
  </si>
  <si>
    <t xml:space="preserve">hop → hopping, stop → stopped. A few questions on your own, then teaching that changes if it is not working, then new words on your own.</t>
  </si>
  <si>
    <t xml:space="preserve">frontend/src/english/ui/App.tsx</t>
  </si>
  <si>
    <t xml:space="preserve">Demonstration content: the questions, lessons and hints are provisional and not yet reviewed by an educator. They do not change your levels.</t>
  </si>
  <si>
    <t xml:space="preserve">Question label</t>
  </si>
  <si>
    <t xml:space="preserve">On your own: no hints</t>
  </si>
  <si>
    <t xml:space="preserve">frontend/src/english/ui/Journey.tsx</t>
  </si>
  <si>
    <t xml:space="preserve">New word, on your own: no hints</t>
  </si>
  <si>
    <t xml:space="preserve">A week later: has it stuck? No hints</t>
  </si>
  <si>
    <t xml:space="preserve">Shown at 7 or 30 days alike.</t>
  </si>
  <si>
    <t xml:space="preserve">Lesson heading</t>
  </si>
  <si>
    <t xml:space="preserve">Let's try a different way</t>
  </si>
  <si>
    <t xml:space="preserve">Lesson: why this</t>
  </si>
  <si>
    <t xml:space="preserve">Not yet right on new words: teaching the rule.</t>
  </si>
  <si>
    <t xml:space="preserve">packages/english-core/src/planner.ts</t>
  </si>
  <si>
    <t xml:space="preserve">Also shown when the child made no rule error but the 5-question check ended before enough answers (see Pilot readiness, finding P-1).</t>
  </si>
  <si>
    <t xml:space="preserve">The same mistake appeared on different words: teaching the rule.</t>
  </si>
  <si>
    <t xml:space="preserve">Shown before, but not remembered after a delay. A short refresher with the approach that helped before.</t>
  </si>
  <si>
    <t xml:space="preserve">Practice label</t>
  </si>
  <si>
    <t xml:space="preserve">Practice with help: this does not count as doing it on your own</t>
  </si>
  <si>
    <t xml:space="preserve">Feedback</t>
  </si>
  <si>
    <t xml:space="preserve">Not yet. A hint might help.</t>
  </si>
  <si>
    <t xml:space="preserve">Summary</t>
  </si>
  <si>
    <t xml:space="preserve">You doubled the letter correctly on new words, on your own. We'll check again in about a week to see if it has stuck.</t>
  </si>
  <si>
    <t xml:space="preserve">After the lesson you got new words right on your own. That's real progress. A few more, and a check in a week, will show it is secure.</t>
  </si>
  <si>
    <t xml:space="preserve">This one is tricky, and that's fine. We've tried three different ways; next, it's best to work on it with a grown-up. You can carry on with other practice.</t>
  </si>
  <si>
    <t xml:space="preserve">Check tone: encouraging, not discouraging?</t>
  </si>
  <si>
    <t xml:space="preserve">A week later, you still remembered it. Well done.</t>
  </si>
  <si>
    <t xml:space="preserve">Parent</t>
  </si>
  <si>
    <t xml:space="preserve">Skill</t>
  </si>
  <si>
    <t xml:space="preserve">Doubling the last consonant before an ending (hop → hopping, stop → stopped, big → bigger)</t>
  </si>
  <si>
    <t xml:space="preserve">frontend/src/english/logic/journey.ts</t>
  </si>
  <si>
    <t xml:space="preserve">'before an ending' is too broad: only endings that start with a vowel (sad → sadly does not double).</t>
  </si>
  <si>
    <t xml:space="preserve">Where things stand</t>
  </si>
  <si>
    <t xml:space="preserve">Not enough answers yet to say.</t>
  </si>
  <si>
    <t xml:space="preserve">Mixed results so far: right and wrong in different ways.</t>
  </si>
  <si>
    <t xml:space="preserve">Not yet doing this without help.</t>
  </si>
  <si>
    <t xml:space="preserve">Getting there: some right on new words without help, not yet consistently.</t>
  </si>
  <si>
    <t xml:space="preserve">Shown without help on new words today. Not yet checked after a delay.</t>
  </si>
  <si>
    <t xml:space="preserve">Shown without help, and still right after at least a week.</t>
  </si>
  <si>
    <t xml:space="preserve">Always followed by the provisional note below while content is provisional.</t>
  </si>
  <si>
    <t xml:space="preserve"> (on provisional questions: a demonstration, not a verified result)</t>
  </si>
  <si>
    <t xml:space="preserve">Right with help in practice, not yet without help.</t>
  </si>
  <si>
    <t xml:space="preserve">Right on new words without help after teaching. Progress, not yet mastery: more answers and a check after a week are needed.</t>
  </si>
  <si>
    <t xml:space="preserve">First shown on {date}; not remembered at the check after a week. Needs refreshing.</t>
  </si>
  <si>
    <t xml:space="preserve">Difficulty: pattern</t>
  </si>
  <si>
    <t xml:space="preserve">Pattern in answers given without help: {error} ({n} times, on different words).</t>
  </si>
  <si>
    <t xml:space="preserve">Difficulty: on their own</t>
  </si>
  <si>
    <t xml:space="preserve">Wrote "{typed}" for "{answer}", on their own (no hint, first try).</t>
  </si>
  <si>
    <t xml:space="preserve">Also used for answers at the delayed check; it does not say which answers were at the check.</t>
  </si>
  <si>
    <t xml:space="preserve">Difficulty: slip</t>
  </si>
  <si>
    <t xml:space="preserve">Wrote "{typed}" for "{answer}": letters swapped, the rule itself was applied.</t>
  </si>
  <si>
    <t xml:space="preserve">Difficulty: with help</t>
  </si>
  <si>
    <t xml:space="preserve">With help (practice): wrote "{typed}" for "{answer}", then {right after N hints | right at a later try | not right, even with help}.</t>
  </si>
  <si>
    <t xml:space="preserve">Difficulty: unknown</t>
  </si>
  <si>
    <t xml:space="preserve">Wrote "{typed}" for "{answer}" (recorded before help was tracked: whether help was given is unknown).</t>
  </si>
  <si>
    <t xml:space="preserve">Help received</t>
  </si>
  <si>
    <t xml:space="preserve">{n} lesson(s) ({names}). Practice with help: {a} right at the first try, {b} right after a hint or second try, {h} hints used.</t>
  </si>
  <si>
    <t xml:space="preserve">None: every answer so far was given without help.</t>
  </si>
  <si>
    <t xml:space="preserve">After teaching</t>
  </si>
  <si>
    <t xml:space="preserve">After "{strategy}": {right} of {total} new words right without help.</t>
  </si>
  <si>
    <t xml:space="preserve">Remembered later</t>
  </si>
  <si>
    <t xml:space="preserve">Not yet: it first needs to be shown securely on its own, then checked again after a week.</t>
  </si>
  <si>
    <t xml:space="preserve">Pending: not yet checked after a delay.</t>
  </si>
  <si>
    <t xml:space="preserve">Confirmed: still right after at least a week.</t>
  </si>
  <si>
    <t xml:space="preserve">Not kept: wrong at the check after a week. Earlier progress is still recorded.</t>
  </si>
  <si>
    <t xml:space="preserve">Recommended</t>
  </si>
  <si>
    <t xml:space="preserve">{n} different approaches have not yet worked. We recommend a teacher or parent works on this with them; the app has paused this rule rather than repeating it.</t>
  </si>
  <si>
    <t xml:space="preserve">Footer</t>
  </si>
  <si>
    <t xml:space="preserve">The questions, lessons and hints in this journey are provisional: not yet reviewed by an educator. This is a record of what happened, not a mastery certificate.</t>
  </si>
  <si>
    <t xml:space="preserve">Flag</t>
  </si>
  <si>
    <t xml:space="preserve">Where it appears</t>
  </si>
  <si>
    <t xml:space="preserve">Statement (exact or abridged)</t>
  </si>
  <si>
    <t xml:space="preserve">Why it is too broad (counterexamples)</t>
  </si>
  <si>
    <t xml:space="preserve">Possible fix (developer suggestion, not applied)</t>
  </si>
  <si>
    <t xml:space="preserve">OG-1</t>
  </si>
  <si>
    <t xml:space="preserve">Lessons: worked_examples step 2; word_building step 2; hints worked_examples 1–2, word_building 1</t>
  </si>
  <si>
    <t xml:space="preserve">One vowel, then one consonant? Double the consonant before -ing, -ed, -er or -est.</t>
  </si>
  <si>
    <t xml:space="preserve">Words ending in w, x or y never double: fix → fixing, snow → snowing, play → playing.</t>
  </si>
  <si>
    <t xml:space="preserve">Add: 'Never double w, x or y.'</t>
  </si>
  <si>
    <t xml:space="preserve">OG-2</t>
  </si>
  <si>
    <t xml:space="preserve">Same as OG-1</t>
  </si>
  <si>
    <t xml:space="preserve">One vowel, then one consonant? Double…</t>
  </si>
  <si>
    <t xml:space="preserve">In longer words doubling depends on stress: begin → beginning, forget → forgetting, but visit → visited, open → opening, garden → gardening. (UK travel → travelled, US traveled.)</t>
  </si>
  <si>
    <t xml:space="preserve">Limit the rule explicitly to one-syllable words: 'In a short word with one syllable…'; teach longer words separately later.</t>
  </si>
  <si>
    <t xml:space="preserve">OG-3</t>
  </si>
  <si>
    <t xml:space="preserve">Lesson sound_first step 3, tip; hint sound_first 2</t>
  </si>
  <si>
    <t xml:space="preserve">A short vowel before one consonant needs a double letter to stay short.</t>
  </si>
  <si>
    <t xml:space="preserve">A short vowel sound is not enough on its own: head → heading, bread, visit → visiting, panic → panicking (c → ck), fix → fixing (x is two sounds). Vowel length also varies by accent.</t>
  </si>
  <si>
    <t xml:space="preserve">Present the short vowel as a reason the pattern exists, not as the test: keep the letter test (one vowel letter + one consonant letter, one syllable) as the rule.</t>
  </si>
  <si>
    <t xml:space="preserve">OG-4</t>
  </si>
  <si>
    <t xml:space="preserve">Lesson worked_examples step 3</t>
  </si>
  <si>
    <t xml:space="preserve">Two consonants at the end, or two vowels before the last letter? Just add the ending.</t>
  </si>
  <si>
    <t xml:space="preserve">'qu' counts as a consonant sound: quit → quitting, quiz → quizzes, squat → squatting double although two vowel letters come before the last letter.</t>
  </si>
  <si>
    <t xml:space="preserve">Accept as a known exception not taught at this level, or add a note for teachers only.</t>
  </si>
  <si>
    <t xml:space="preserve">OG-5</t>
  </si>
  <si>
    <t xml:space="preserve">Parent skill line; lesson steps list the endings but the skill line does not</t>
  </si>
  <si>
    <t xml:space="preserve">Doubling the last consonant before an ending</t>
  </si>
  <si>
    <t xml:space="preserve">Only endings that start with a vowel: sad → sadly, ship → shipment, wet → wetness do not double.</t>
  </si>
  <si>
    <t xml:space="preserve">'…before an ending that starts with a vowel (-ing, -ed, -er, -est)'.</t>
  </si>
  <si>
    <t xml:space="preserve">OG-6</t>
  </si>
  <si>
    <t xml:space="preserve">Hints, level 3 (all three strategies)</t>
  </si>
  <si>
    <t xml:space="preserve">Not an overgeneralisation but a validity risk: the hint gives the answer, so 'right after 3 hints' shows little.</t>
  </si>
  <si>
    <t xml:space="preserve">Keep as a model answer and treat as 'shown the answer' in the parent report, or remove level 3.</t>
  </si>
  <si>
    <t xml:space="preserve">OG-7</t>
  </si>
  <si>
    <t xml:space="preserve">Journey design: practice words and the check after teaching</t>
  </si>
  <si>
    <t xml:space="preserve">All 12 practice words double; the 2 questions after teaching always double.</t>
  </si>
  <si>
    <t xml:space="preserve">A child who learns 'always double' passes the check after teaching. Over-doubling would only show at the next diagnostic question.</t>
  </si>
  <si>
    <t xml:space="preserve">Add at least one 'must not double' word to practice and to the check after teaching (content change, needs approval).</t>
  </si>
  <si>
    <t xml:space="preserve">OG-8</t>
  </si>
  <si>
    <t xml:space="preserve">Question rationale texts (internal, not shown to children): spl.infl.18 'One short vowel, one final consonant: double before -ing.'</t>
  </si>
  <si>
    <t xml:space="preserve">One short vowel, one final consonant: double…</t>
  </si>
  <si>
    <t xml:space="preserve">Same as OG-1 to OG-3; internal only.</t>
  </si>
  <si>
    <t xml:space="preserve">Align with whatever wording is approved for the lessons.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</si>
</sst>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name val="Arial"/>
      <family val="0"/>
      <charset val="1"/>
    </font>
    <font>
      <sz val="10"/>
      <name val="Arial"/>
      <family val="2"/>
    </font>
  </fonts>
  <fills count="6">
    <fill>
      <patternFill patternType="none"/>
    </fill>
    <fill>
      <patternFill patternType="gray125"/>
    </fill>
    <fill>
      <patternFill patternType="solid">
        <fgColor rgb="FFE7E6E6"/>
        <bgColor rgb="FFFCE4D6"/>
      </patternFill>
    </fill>
    <fill>
      <patternFill patternType="solid">
        <fgColor rgb="FFFFFF00"/>
        <bgColor rgb="FFFFFF00"/>
      </patternFill>
    </fill>
    <fill>
      <patternFill patternType="solid">
        <fgColor rgb="FFFCE4D6"/>
        <bgColor rgb="FFE7E6E6"/>
      </patternFill>
    </fill>
    <fill>
      <patternFill patternType="solid">
        <fgColor rgb="FF2F4F6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20"/>
    <col collapsed="false" customWidth="true" hidden="false" outlineLevel="0" max="3" min="3" style="0" width="60"/>
    <col collapsed="false" customWidth="true" hidden="false" outlineLevel="0" max="4" min="4" style="0" width="10"/>
    <col collapsed="false" customWidth="true" hidden="false" outlineLevel="0" max="5" min="5" style="0" width="12"/>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5.0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35.05" hidden="false" customHeight="false" outlineLevel="0" collapsed="false">
      <c r="A7" s="2" t="s">
        <v>4</v>
      </c>
    </row>
    <row r="8" customFormat="false" ht="15" hidden="false" customHeight="false" outlineLevel="0" collapsed="false">
      <c r="A8" s="2"/>
    </row>
    <row r="9" customFormat="false" ht="15" hidden="false" customHeight="false" outlineLevel="0" collapsed="false">
      <c r="A9" s="3" t="s">
        <v>5</v>
      </c>
    </row>
    <row r="10" customFormat="false" ht="1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23.8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3.85" hidden="false" customHeight="false" outlineLevel="0" collapsed="false">
      <c r="A17" s="4" t="s">
        <v>12</v>
      </c>
      <c r="B17" s="4" t="s">
        <v>13</v>
      </c>
      <c r="C17" s="4" t="s">
        <v>14</v>
      </c>
      <c r="D17" s="4" t="s">
        <v>15</v>
      </c>
      <c r="E17" s="4" t="s">
        <v>16</v>
      </c>
    </row>
    <row r="19" customFormat="false" ht="15" hidden="false" customHeight="false" outlineLevel="0" collapsed="false">
      <c r="A19" s="5" t="s">
        <v>17</v>
      </c>
    </row>
    <row r="20" customFormat="false" ht="15" hidden="false" customHeight="false" outlineLevel="0" collapsed="false">
      <c r="A20" s="6" t="s">
        <v>18</v>
      </c>
    </row>
    <row r="21" customFormat="false" ht="15" hidden="false" customHeight="false" outlineLevel="0" collapsed="false">
      <c r="A21" s="7" t="s">
        <v>19</v>
      </c>
    </row>
    <row r="22" customFormat="false" ht="15" hidden="false" customHeight="false" outlineLevel="0" collapsed="false">
      <c r="A22" s="8" t="s">
        <v>20</v>
      </c>
    </row>
    <row r="24" customFormat="false" ht="15" hidden="false" customHeight="false" outlineLevel="0" collapsed="false">
      <c r="A24" s="2" t="s">
        <v>21</v>
      </c>
    </row>
    <row r="25" customFormat="false" ht="15" hidden="false" customHeight="false" outlineLevel="0" collapsed="false">
      <c r="A25" s="2" t="s">
        <v>22</v>
      </c>
    </row>
    <row r="26" customFormat="false" ht="23.85" hidden="false" customHeight="false" outlineLevel="0" collapsed="false">
      <c r="A26"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0"/>
    <col collapsed="false" customWidth="true" hidden="false" outlineLevel="0" max="4" min="4" style="0" width="26"/>
    <col collapsed="false" customWidth="true" hidden="false" outlineLevel="0" max="5" min="5" style="0" width="10"/>
    <col collapsed="false" customWidth="true" hidden="false" outlineLevel="0" max="6" min="6" style="0" width="16"/>
  </cols>
  <sheetData>
    <row r="1" customFormat="false" ht="23.85" hidden="false" customHeight="false" outlineLevel="0" collapsed="false">
      <c r="A1" s="9" t="s">
        <v>24</v>
      </c>
      <c r="B1" s="9" t="s">
        <v>25</v>
      </c>
      <c r="C1" s="9" t="s">
        <v>26</v>
      </c>
      <c r="D1" s="9" t="s">
        <v>27</v>
      </c>
      <c r="E1" s="9" t="s">
        <v>28</v>
      </c>
      <c r="F1" s="9" t="s">
        <v>29</v>
      </c>
    </row>
    <row r="2" customFormat="false" ht="15" hidden="false" customHeight="false" outlineLevel="0" collapsed="false">
      <c r="A2" s="10" t="s">
        <v>30</v>
      </c>
      <c r="B2" s="10" t="n">
        <v>10</v>
      </c>
      <c r="C2" s="10" t="n">
        <f aca="false">COUNTA(Questions!$N$2:$N$11)</f>
        <v>0</v>
      </c>
      <c r="D2" s="10" t="n">
        <f aca="false">COUNTIF(Questions!$N$2:$N$11,"Approve")+COUNTIF(Questions!$N$2:$N$11,"Approve with changes")</f>
        <v>0</v>
      </c>
      <c r="E2" s="10" t="n">
        <f aca="false">COUNTIF(Questions!$N$2:$N$11,"Reject")</f>
        <v>0</v>
      </c>
      <c r="F2" s="10" t="n">
        <f aca="false">B2-C2</f>
        <v>10</v>
      </c>
    </row>
    <row r="3" customFormat="false" ht="15" hidden="false" customHeight="false" outlineLevel="0" collapsed="false">
      <c r="A3" s="10" t="s">
        <v>31</v>
      </c>
      <c r="B3" s="10" t="n">
        <v>3</v>
      </c>
      <c r="C3" s="10" t="n">
        <f aca="false">COUNTA(Lessons!$K$2:$K$4)</f>
        <v>0</v>
      </c>
      <c r="D3" s="10" t="n">
        <f aca="false">COUNTIF(Lessons!$K$2:$K$4,"Approve")+COUNTIF(Lessons!$K$2:$K$4,"Approve with changes")</f>
        <v>0</v>
      </c>
      <c r="E3" s="10" t="n">
        <f aca="false">COUNTIF(Lessons!$K$2:$K$4,"Reject")</f>
        <v>0</v>
      </c>
      <c r="F3" s="10" t="n">
        <f aca="false">B3-C3</f>
        <v>3</v>
      </c>
    </row>
    <row r="4" customFormat="false" ht="15" hidden="false" customHeight="false" outlineLevel="0" collapsed="false">
      <c r="A4" s="10" t="s">
        <v>32</v>
      </c>
      <c r="B4" s="10" t="n">
        <v>9</v>
      </c>
      <c r="C4" s="10" t="n">
        <f aca="false">COUNTA(Hints!$G$2:$G$10)</f>
        <v>0</v>
      </c>
      <c r="D4" s="10" t="n">
        <f aca="false">COUNTIF(Hints!$G$2:$G$10,"Approve")+COUNTIF(Hints!$G$2:$G$10,"Approve with changes")</f>
        <v>0</v>
      </c>
      <c r="E4" s="10" t="n">
        <f aca="false">COUNTIF(Hints!$G$2:$G$10,"Reject")</f>
        <v>0</v>
      </c>
      <c r="F4" s="10" t="n">
        <f aca="false">B4-C4</f>
        <v>9</v>
      </c>
    </row>
    <row r="5" customFormat="false" ht="15" hidden="false" customHeight="false" outlineLevel="0" collapsed="false">
      <c r="A5" s="10" t="s">
        <v>33</v>
      </c>
      <c r="B5" s="10" t="n">
        <v>12</v>
      </c>
      <c r="C5" s="10" t="n">
        <f aca="false">COUNTA('Practice words'!$J$2:$J$13)</f>
        <v>0</v>
      </c>
      <c r="D5" s="10" t="n">
        <f aca="false">COUNTIF('Practice words'!$J$2:$J$13,"Approve")+COUNTIF('Practice words'!$J$2:$J$13,"Approve with changes")</f>
        <v>0</v>
      </c>
      <c r="E5" s="10" t="n">
        <f aca="false">COUNTIF('Practice words'!$J$2:$J$13,"Reject")</f>
        <v>0</v>
      </c>
      <c r="F5" s="10" t="n">
        <f aca="false">B5-C5</f>
        <v>12</v>
      </c>
    </row>
    <row r="6" customFormat="false" ht="15" hidden="false" customHeight="false" outlineLevel="0" collapsed="false">
      <c r="A6" s="10" t="s">
        <v>34</v>
      </c>
      <c r="B6" s="10" t="n">
        <v>15</v>
      </c>
      <c r="C6" s="10" t="n">
        <f aca="false">COUNTA(Thresholds!$F$2:$F$16)</f>
        <v>0</v>
      </c>
      <c r="D6" s="10" t="n">
        <f aca="false">COUNTIF(Thresholds!$F$2:$F$16,"Keep")</f>
        <v>0</v>
      </c>
      <c r="E6" s="10" t="n">
        <f aca="false">COUNTIF(Thresholds!$F$2:$F$16,"Change")</f>
        <v>0</v>
      </c>
      <c r="F6" s="10" t="n">
        <f aca="false">B6-C6</f>
        <v>15</v>
      </c>
    </row>
    <row r="7" customFormat="false" ht="15" hidden="false" customHeight="false" outlineLevel="0" collapsed="false">
      <c r="A7" s="10" t="s">
        <v>35</v>
      </c>
      <c r="B7" s="10" t="n">
        <v>40</v>
      </c>
      <c r="C7" s="10" t="n">
        <f aca="false">COUNTA('Parent wording'!$F$2:$F$41)</f>
        <v>0</v>
      </c>
      <c r="D7" s="10" t="n">
        <f aca="false">COUNTIF('Parent wording'!$F$2:$F$41,"Approve")+COUNTIF('Parent wording'!$F$2:$F$41,"Approve with changes")</f>
        <v>0</v>
      </c>
      <c r="E7" s="10" t="n">
        <f aca="false">COUNTIF('Parent wording'!$F$2:$F$41,"Reject")</f>
        <v>0</v>
      </c>
      <c r="F7" s="10" t="n">
        <f aca="false">B7-C7</f>
        <v>40</v>
      </c>
    </row>
    <row r="8" customFormat="false" ht="15" hidden="false" customHeight="false" outlineLevel="0" collapsed="false">
      <c r="A8" s="10" t="s">
        <v>36</v>
      </c>
      <c r="B8" s="10" t="n">
        <v>8</v>
      </c>
      <c r="C8" s="10" t="n">
        <f aca="false">COUNTA(Overgeneralisation!$F$2:$F$9)</f>
        <v>0</v>
      </c>
      <c r="D8" s="10" t="n">
        <f aca="false">COUNTIF(Overgeneralisation!$F$2:$F$9,"Approve")+COUNTIF(Overgeneralisation!$F$2:$F$9,"Approve with changes")</f>
        <v>0</v>
      </c>
      <c r="E8" s="10" t="n">
        <f aca="false">COUNTIF(Overgeneralisation!$F$2:$F$9,"Reject")</f>
        <v>0</v>
      </c>
      <c r="F8" s="10" t="n">
        <f aca="false">B8-C8</f>
        <v>8</v>
      </c>
    </row>
    <row r="9" customFormat="false" ht="15" hidden="false" customHeight="false" outlineLevel="0" collapsed="false">
      <c r="A9" s="11" t="s">
        <v>37</v>
      </c>
      <c r="B9" s="11" t="n">
        <f aca="false">SUM(B2:B8)</f>
        <v>97</v>
      </c>
      <c r="C9" s="11" t="n">
        <f aca="false">SUM(C2:C8)</f>
        <v>0</v>
      </c>
      <c r="D9" s="11" t="n">
        <f aca="false">SUM(D2:D8)</f>
        <v>0</v>
      </c>
      <c r="E9" s="11" t="n">
        <f aca="false">SUM(E2:E8)</f>
        <v>0</v>
      </c>
      <c r="F9" s="11" t="n">
        <f aca="false">SUM(F2:F8)</f>
        <v>97</v>
      </c>
    </row>
    <row r="11" customFormat="false" ht="15" hidden="false" customHeight="false" outlineLevel="0" collapsed="false">
      <c r="A11" s="5" t="s">
        <v>38</v>
      </c>
      <c r="D11" s="12" t="n">
        <f aca="false">COUNTIF(Questions!$N$2:$N$11,"Approve")+COUNTIF(Questions!$N$2:$N$11,"Approve with changes")</f>
        <v>0</v>
      </c>
    </row>
    <row r="12" customFormat="false" ht="15" hidden="false" customHeight="false" outlineLevel="0" collapsed="false">
      <c r="A12" s="5" t="s">
        <v>39</v>
      </c>
      <c r="D12" s="12" t="n">
        <f aca="false">F8</f>
        <v>8</v>
      </c>
    </row>
    <row r="14" customFormat="false" ht="15" hidden="false" customHeight="false" outlineLevel="0" collapsed="false">
      <c r="A14" s="1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46"/>
    <col collapsed="false" customWidth="true" hidden="false" outlineLevel="0" max="4" min="4" style="0" width="13"/>
    <col collapsed="false" customWidth="true" hidden="false" outlineLevel="0" max="5" min="5" style="0" width="24"/>
    <col collapsed="false" customWidth="true" hidden="false" outlineLevel="0" max="6" min="6" style="0" width="34"/>
    <col collapsed="false" customWidth="true" hidden="false" outlineLevel="0" max="7" min="7" style="0" width="16"/>
    <col collapsed="false" customWidth="true" hidden="false" outlineLevel="0" max="9" min="8" style="0" width="30"/>
    <col collapsed="false" customWidth="true" hidden="false" outlineLevel="0" max="10" min="10" style="0" width="40"/>
    <col collapsed="false" customWidth="true" hidden="false" outlineLevel="0" max="11" min="11" style="0" width="22"/>
    <col collapsed="false" customWidth="true" hidden="false" outlineLevel="0" max="12" min="12" style="0" width="26"/>
    <col collapsed="false" customWidth="true" hidden="false" outlineLevel="0" max="13" min="13" style="0" width="22"/>
    <col collapsed="false" customWidth="true" hidden="false" outlineLevel="0" max="14" min="14" style="0" width="16"/>
    <col collapsed="false" customWidth="true" hidden="false" outlineLevel="0" max="15" min="15" style="0" width="40"/>
    <col collapsed="false" customWidth="true" hidden="false" outlineLevel="0" max="16" min="16" style="0" width="12"/>
    <col collapsed="false" customWidth="true" hidden="false" outlineLevel="0" max="17" min="17" style="0" width="14"/>
  </cols>
  <sheetData>
    <row r="1" customFormat="false" ht="23.85" hidden="false" customHeight="false" outlineLevel="0" collapsed="false">
      <c r="A1" s="9" t="s">
        <v>41</v>
      </c>
      <c r="B1" s="9" t="s">
        <v>42</v>
      </c>
      <c r="C1" s="9" t="s">
        <v>43</v>
      </c>
      <c r="D1" s="9" t="s">
        <v>44</v>
      </c>
      <c r="E1" s="9" t="s">
        <v>45</v>
      </c>
      <c r="F1" s="9" t="s">
        <v>46</v>
      </c>
      <c r="G1" s="9" t="s">
        <v>47</v>
      </c>
      <c r="H1" s="9" t="s">
        <v>48</v>
      </c>
      <c r="I1" s="9" t="s">
        <v>49</v>
      </c>
      <c r="J1" s="9" t="s">
        <v>50</v>
      </c>
      <c r="K1" s="9" t="s">
        <v>51</v>
      </c>
      <c r="L1" s="9" t="s">
        <v>52</v>
      </c>
      <c r="M1" s="9" t="s">
        <v>53</v>
      </c>
      <c r="N1" s="9" t="s">
        <v>54</v>
      </c>
      <c r="O1" s="9" t="s">
        <v>55</v>
      </c>
      <c r="P1" s="9" t="s">
        <v>56</v>
      </c>
      <c r="Q1" s="9" t="s">
        <v>57</v>
      </c>
    </row>
    <row r="2" customFormat="false" ht="46.25" hidden="false" customHeight="false" outlineLevel="0" collapsed="false">
      <c r="A2" s="14" t="n">
        <v>1</v>
      </c>
      <c r="B2" s="14" t="s">
        <v>58</v>
      </c>
      <c r="C2" s="14" t="s">
        <v>59</v>
      </c>
      <c r="D2" s="14" t="s">
        <v>60</v>
      </c>
      <c r="E2" s="14" t="s">
        <v>61</v>
      </c>
      <c r="F2" s="14" t="s">
        <v>62</v>
      </c>
      <c r="G2" s="14" t="s">
        <v>63</v>
      </c>
      <c r="H2" s="14" t="s">
        <v>64</v>
      </c>
      <c r="I2" s="14" t="s">
        <v>65</v>
      </c>
      <c r="J2" s="15" t="s">
        <v>66</v>
      </c>
      <c r="K2" s="14" t="s">
        <v>67</v>
      </c>
      <c r="L2" s="14" t="s">
        <v>68</v>
      </c>
      <c r="M2" s="16"/>
      <c r="N2" s="16"/>
      <c r="O2" s="16"/>
      <c r="P2" s="16"/>
      <c r="Q2" s="16"/>
    </row>
    <row r="3" customFormat="false" ht="46.25" hidden="false" customHeight="false" outlineLevel="0" collapsed="false">
      <c r="A3" s="14" t="n">
        <v>2</v>
      </c>
      <c r="B3" s="14" t="s">
        <v>69</v>
      </c>
      <c r="C3" s="14" t="s">
        <v>70</v>
      </c>
      <c r="D3" s="14" t="s">
        <v>71</v>
      </c>
      <c r="E3" s="14" t="s">
        <v>72</v>
      </c>
      <c r="F3" s="14" t="s">
        <v>62</v>
      </c>
      <c r="G3" s="14" t="s">
        <v>63</v>
      </c>
      <c r="H3" s="14" t="s">
        <v>64</v>
      </c>
      <c r="I3" s="14" t="s">
        <v>73</v>
      </c>
      <c r="J3" s="15" t="s">
        <v>74</v>
      </c>
      <c r="K3" s="14" t="s">
        <v>67</v>
      </c>
      <c r="L3" s="14" t="s">
        <v>68</v>
      </c>
      <c r="M3" s="16"/>
      <c r="N3" s="16"/>
      <c r="O3" s="16"/>
      <c r="P3" s="16"/>
      <c r="Q3" s="16"/>
    </row>
    <row r="4" customFormat="false" ht="35.05" hidden="false" customHeight="false" outlineLevel="0" collapsed="false">
      <c r="A4" s="14" t="n">
        <v>3</v>
      </c>
      <c r="B4" s="14" t="s">
        <v>75</v>
      </c>
      <c r="C4" s="14" t="s">
        <v>76</v>
      </c>
      <c r="D4" s="14" t="s">
        <v>77</v>
      </c>
      <c r="E4" s="14" t="s">
        <v>78</v>
      </c>
      <c r="F4" s="14" t="s">
        <v>79</v>
      </c>
      <c r="G4" s="14" t="s">
        <v>80</v>
      </c>
      <c r="H4" s="14" t="s">
        <v>81</v>
      </c>
      <c r="I4" s="14" t="s">
        <v>82</v>
      </c>
      <c r="J4" s="15" t="s">
        <v>83</v>
      </c>
      <c r="K4" s="14" t="s">
        <v>67</v>
      </c>
      <c r="L4" s="14" t="s">
        <v>68</v>
      </c>
      <c r="M4" s="16"/>
      <c r="N4" s="16"/>
      <c r="O4" s="16"/>
      <c r="P4" s="16"/>
      <c r="Q4" s="16"/>
    </row>
    <row r="5" customFormat="false" ht="46.25" hidden="false" customHeight="false" outlineLevel="0" collapsed="false">
      <c r="A5" s="14" t="n">
        <v>4</v>
      </c>
      <c r="B5" s="14" t="s">
        <v>84</v>
      </c>
      <c r="C5" s="14" t="s">
        <v>85</v>
      </c>
      <c r="D5" s="14" t="s">
        <v>86</v>
      </c>
      <c r="E5" s="14" t="s">
        <v>87</v>
      </c>
      <c r="F5" s="14" t="s">
        <v>62</v>
      </c>
      <c r="G5" s="14" t="s">
        <v>63</v>
      </c>
      <c r="H5" s="14" t="s">
        <v>64</v>
      </c>
      <c r="I5" s="14" t="s">
        <v>88</v>
      </c>
      <c r="J5" s="15" t="s">
        <v>89</v>
      </c>
      <c r="K5" s="14" t="s">
        <v>67</v>
      </c>
      <c r="L5" s="14" t="s">
        <v>68</v>
      </c>
      <c r="M5" s="16"/>
      <c r="N5" s="16"/>
      <c r="O5" s="16"/>
      <c r="P5" s="16"/>
      <c r="Q5" s="16"/>
    </row>
    <row r="6" customFormat="false" ht="46.25" hidden="false" customHeight="false" outlineLevel="0" collapsed="false">
      <c r="A6" s="14" t="n">
        <v>5</v>
      </c>
      <c r="B6" s="14" t="s">
        <v>90</v>
      </c>
      <c r="C6" s="14" t="s">
        <v>91</v>
      </c>
      <c r="D6" s="14" t="s">
        <v>92</v>
      </c>
      <c r="E6" s="14" t="s">
        <v>93</v>
      </c>
      <c r="F6" s="14" t="s">
        <v>62</v>
      </c>
      <c r="G6" s="14" t="s">
        <v>63</v>
      </c>
      <c r="H6" s="14" t="s">
        <v>64</v>
      </c>
      <c r="I6" s="14" t="s">
        <v>94</v>
      </c>
      <c r="J6" s="15" t="s">
        <v>95</v>
      </c>
      <c r="K6" s="14" t="s">
        <v>67</v>
      </c>
      <c r="L6" s="14" t="s">
        <v>68</v>
      </c>
      <c r="M6" s="16"/>
      <c r="N6" s="16"/>
      <c r="O6" s="16"/>
      <c r="P6" s="16"/>
      <c r="Q6" s="16"/>
    </row>
    <row r="7" customFormat="false" ht="46.25" hidden="false" customHeight="false" outlineLevel="0" collapsed="false">
      <c r="A7" s="14" t="n">
        <v>6</v>
      </c>
      <c r="B7" s="14" t="s">
        <v>96</v>
      </c>
      <c r="C7" s="14" t="s">
        <v>97</v>
      </c>
      <c r="D7" s="14" t="s">
        <v>98</v>
      </c>
      <c r="E7" s="14" t="s">
        <v>99</v>
      </c>
      <c r="F7" s="14" t="s">
        <v>62</v>
      </c>
      <c r="G7" s="14" t="s">
        <v>63</v>
      </c>
      <c r="H7" s="14" t="s">
        <v>64</v>
      </c>
      <c r="I7" s="14" t="s">
        <v>100</v>
      </c>
      <c r="J7" s="15" t="s">
        <v>101</v>
      </c>
      <c r="K7" s="14" t="s">
        <v>67</v>
      </c>
      <c r="L7" s="14" t="s">
        <v>68</v>
      </c>
      <c r="M7" s="16"/>
      <c r="N7" s="16"/>
      <c r="O7" s="16"/>
      <c r="P7" s="16"/>
      <c r="Q7" s="16"/>
    </row>
    <row r="8" customFormat="false" ht="46.25" hidden="false" customHeight="false" outlineLevel="0" collapsed="false">
      <c r="A8" s="14" t="n">
        <v>7</v>
      </c>
      <c r="B8" s="14" t="s">
        <v>102</v>
      </c>
      <c r="C8" s="14" t="s">
        <v>103</v>
      </c>
      <c r="D8" s="14" t="s">
        <v>104</v>
      </c>
      <c r="E8" s="14" t="s">
        <v>105</v>
      </c>
      <c r="F8" s="14" t="s">
        <v>62</v>
      </c>
      <c r="G8" s="14" t="s">
        <v>63</v>
      </c>
      <c r="H8" s="14" t="s">
        <v>64</v>
      </c>
      <c r="I8" s="14" t="s">
        <v>106</v>
      </c>
      <c r="J8" s="15" t="s">
        <v>107</v>
      </c>
      <c r="K8" s="14" t="s">
        <v>67</v>
      </c>
      <c r="L8" s="14" t="s">
        <v>68</v>
      </c>
      <c r="M8" s="16"/>
      <c r="N8" s="16"/>
      <c r="O8" s="16"/>
      <c r="P8" s="16"/>
      <c r="Q8" s="16"/>
    </row>
    <row r="9" customFormat="false" ht="46.25" hidden="false" customHeight="false" outlineLevel="0" collapsed="false">
      <c r="A9" s="14" t="n">
        <v>8</v>
      </c>
      <c r="B9" s="14" t="s">
        <v>108</v>
      </c>
      <c r="C9" s="14" t="s">
        <v>109</v>
      </c>
      <c r="D9" s="14" t="s">
        <v>110</v>
      </c>
      <c r="E9" s="14" t="s">
        <v>111</v>
      </c>
      <c r="F9" s="14" t="s">
        <v>62</v>
      </c>
      <c r="G9" s="14" t="s">
        <v>63</v>
      </c>
      <c r="H9" s="14" t="s">
        <v>64</v>
      </c>
      <c r="I9" s="14" t="s">
        <v>112</v>
      </c>
      <c r="J9" s="15" t="s">
        <v>107</v>
      </c>
      <c r="K9" s="14" t="s">
        <v>67</v>
      </c>
      <c r="L9" s="14" t="s">
        <v>68</v>
      </c>
      <c r="M9" s="16"/>
      <c r="N9" s="16"/>
      <c r="O9" s="16"/>
      <c r="P9" s="16"/>
      <c r="Q9" s="16"/>
    </row>
    <row r="10" customFormat="false" ht="46.25" hidden="false" customHeight="false" outlineLevel="0" collapsed="false">
      <c r="A10" s="14" t="n">
        <v>9</v>
      </c>
      <c r="B10" s="14" t="s">
        <v>113</v>
      </c>
      <c r="C10" s="14" t="s">
        <v>114</v>
      </c>
      <c r="D10" s="14" t="s">
        <v>115</v>
      </c>
      <c r="E10" s="14" t="s">
        <v>116</v>
      </c>
      <c r="F10" s="14" t="s">
        <v>62</v>
      </c>
      <c r="G10" s="14" t="s">
        <v>63</v>
      </c>
      <c r="H10" s="14" t="s">
        <v>64</v>
      </c>
      <c r="I10" s="14" t="s">
        <v>117</v>
      </c>
      <c r="J10" s="15" t="s">
        <v>118</v>
      </c>
      <c r="K10" s="14" t="s">
        <v>67</v>
      </c>
      <c r="L10" s="14" t="s">
        <v>68</v>
      </c>
      <c r="M10" s="16"/>
      <c r="N10" s="16"/>
      <c r="O10" s="16"/>
      <c r="P10" s="16"/>
      <c r="Q10" s="16"/>
    </row>
    <row r="11" customFormat="false" ht="35.05" hidden="false" customHeight="false" outlineLevel="0" collapsed="false">
      <c r="A11" s="14" t="n">
        <v>10</v>
      </c>
      <c r="B11" s="14" t="s">
        <v>119</v>
      </c>
      <c r="C11" s="14" t="s">
        <v>120</v>
      </c>
      <c r="D11" s="14" t="s">
        <v>121</v>
      </c>
      <c r="E11" s="14" t="s">
        <v>122</v>
      </c>
      <c r="F11" s="14" t="s">
        <v>79</v>
      </c>
      <c r="G11" s="14" t="s">
        <v>80</v>
      </c>
      <c r="H11" s="14" t="s">
        <v>81</v>
      </c>
      <c r="I11" s="14" t="s">
        <v>123</v>
      </c>
      <c r="J11" s="15" t="s">
        <v>124</v>
      </c>
      <c r="K11" s="14" t="s">
        <v>67</v>
      </c>
      <c r="L11" s="14" t="s">
        <v>68</v>
      </c>
      <c r="M11" s="16"/>
      <c r="N11" s="16"/>
      <c r="O11" s="16"/>
      <c r="P11" s="16"/>
      <c r="Q11" s="16"/>
    </row>
  </sheetData>
  <dataValidations count="1">
    <dataValidation allowBlank="true" errorStyle="stop" operator="between" showDropDown="false" showErrorMessage="false" showInputMessage="false" sqref="N2:N11"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2"/>
    <col collapsed="false" customWidth="true" hidden="false" outlineLevel="0" max="4" min="4" style="0" width="34"/>
    <col collapsed="false" customWidth="true" hidden="false" outlineLevel="0" max="5" min="5" style="0" width="46"/>
    <col collapsed="false" customWidth="true" hidden="false" outlineLevel="0" max="6" min="6" style="0" width="40"/>
    <col collapsed="false" customWidth="true" hidden="false" outlineLevel="0" max="7" min="7" style="0" width="30"/>
    <col collapsed="false" customWidth="true" hidden="false" outlineLevel="0" max="8" min="8" style="0" width="34"/>
    <col collapsed="false" customWidth="true" hidden="false" outlineLevel="0" max="9" min="9" style="0" width="44"/>
    <col collapsed="false" customWidth="true" hidden="false" outlineLevel="0" max="10" min="10" style="0" width="40"/>
    <col collapsed="false" customWidth="true" hidden="false" outlineLevel="0" max="11" min="11" style="0" width="16"/>
    <col collapsed="false" customWidth="true" hidden="false" outlineLevel="0" max="12" min="12" style="0" width="40"/>
    <col collapsed="false" customWidth="true" hidden="false" outlineLevel="0" max="13" min="13" style="0" width="12"/>
    <col collapsed="false" customWidth="true" hidden="false" outlineLevel="0" max="14" min="14" style="0" width="14"/>
  </cols>
  <sheetData>
    <row r="1" customFormat="false" ht="23.85" hidden="false" customHeight="false" outlineLevel="0" collapsed="false">
      <c r="A1" s="9" t="s">
        <v>125</v>
      </c>
      <c r="B1" s="9" t="s">
        <v>126</v>
      </c>
      <c r="C1" s="9" t="s">
        <v>127</v>
      </c>
      <c r="D1" s="9" t="s">
        <v>128</v>
      </c>
      <c r="E1" s="9" t="s">
        <v>129</v>
      </c>
      <c r="F1" s="9" t="s">
        <v>130</v>
      </c>
      <c r="G1" s="9" t="s">
        <v>131</v>
      </c>
      <c r="H1" s="9" t="s">
        <v>132</v>
      </c>
      <c r="I1" s="9" t="s">
        <v>133</v>
      </c>
      <c r="J1" s="9" t="s">
        <v>134</v>
      </c>
      <c r="K1" s="9" t="s">
        <v>54</v>
      </c>
      <c r="L1" s="9" t="s">
        <v>55</v>
      </c>
      <c r="M1" s="9" t="s">
        <v>56</v>
      </c>
      <c r="N1" s="9" t="s">
        <v>57</v>
      </c>
    </row>
    <row r="2" customFormat="false" ht="68.65" hidden="false" customHeight="false" outlineLevel="0" collapsed="false">
      <c r="A2" s="14" t="s">
        <v>135</v>
      </c>
      <c r="B2" s="14" t="s">
        <v>136</v>
      </c>
      <c r="C2" s="14" t="s">
        <v>137</v>
      </c>
      <c r="D2" s="14" t="s">
        <v>138</v>
      </c>
      <c r="E2" s="14" t="s">
        <v>139</v>
      </c>
      <c r="F2" s="14" t="s">
        <v>140</v>
      </c>
      <c r="G2" s="14" t="s">
        <v>141</v>
      </c>
      <c r="H2" s="14" t="s">
        <v>142</v>
      </c>
      <c r="I2" s="15" t="s">
        <v>143</v>
      </c>
      <c r="J2" s="14" t="s">
        <v>144</v>
      </c>
      <c r="K2" s="16"/>
      <c r="L2" s="16"/>
      <c r="M2" s="16"/>
      <c r="N2" s="16"/>
    </row>
    <row r="3" customFormat="false" ht="57.45" hidden="false" customHeight="false" outlineLevel="0" collapsed="false">
      <c r="A3" s="14" t="s">
        <v>145</v>
      </c>
      <c r="B3" s="14" t="s">
        <v>146</v>
      </c>
      <c r="C3" s="14" t="s">
        <v>147</v>
      </c>
      <c r="D3" s="14" t="s">
        <v>148</v>
      </c>
      <c r="E3" s="14" t="s">
        <v>149</v>
      </c>
      <c r="F3" s="14" t="s">
        <v>150</v>
      </c>
      <c r="G3" s="14" t="s">
        <v>151</v>
      </c>
      <c r="H3" s="14" t="s">
        <v>152</v>
      </c>
      <c r="I3" s="15" t="s">
        <v>153</v>
      </c>
      <c r="J3" s="14" t="s">
        <v>144</v>
      </c>
      <c r="K3" s="16"/>
      <c r="L3" s="16"/>
      <c r="M3" s="16"/>
      <c r="N3" s="16"/>
    </row>
    <row r="4" customFormat="false" ht="57.45" hidden="false" customHeight="false" outlineLevel="0" collapsed="false">
      <c r="A4" s="14" t="s">
        <v>154</v>
      </c>
      <c r="B4" s="14" t="s">
        <v>155</v>
      </c>
      <c r="C4" s="14" t="s">
        <v>156</v>
      </c>
      <c r="D4" s="14" t="s">
        <v>157</v>
      </c>
      <c r="E4" s="14" t="s">
        <v>158</v>
      </c>
      <c r="F4" s="14" t="s">
        <v>159</v>
      </c>
      <c r="G4" s="14" t="s">
        <v>160</v>
      </c>
      <c r="H4" s="14" t="s">
        <v>161</v>
      </c>
      <c r="I4" s="15" t="s">
        <v>162</v>
      </c>
      <c r="J4" s="14" t="s">
        <v>144</v>
      </c>
      <c r="K4" s="16"/>
      <c r="L4" s="16"/>
      <c r="M4" s="16"/>
      <c r="N4" s="16"/>
    </row>
  </sheetData>
  <dataValidations count="1">
    <dataValidation allowBlank="true" errorStyle="stop" operator="between" showDropDown="false" showErrorMessage="false" showInputMessage="false" sqref="K2:K4"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52"/>
    <col collapsed="false" customWidth="true" hidden="false" outlineLevel="0" max="6" min="4" style="0" width="44"/>
    <col collapsed="false" customWidth="true" hidden="false" outlineLevel="0" max="7" min="7" style="0" width="16"/>
    <col collapsed="false" customWidth="true" hidden="false" outlineLevel="0" max="8" min="8" style="0" width="40"/>
    <col collapsed="false" customWidth="true" hidden="false" outlineLevel="0" max="9" min="9" style="0" width="12"/>
    <col collapsed="false" customWidth="true" hidden="false" outlineLevel="0" max="10" min="10" style="0" width="14"/>
  </cols>
  <sheetData>
    <row r="1" customFormat="false" ht="23.85" hidden="false" customHeight="false" outlineLevel="0" collapsed="false">
      <c r="A1" s="9" t="s">
        <v>163</v>
      </c>
      <c r="B1" s="9" t="s">
        <v>164</v>
      </c>
      <c r="C1" s="9" t="s">
        <v>165</v>
      </c>
      <c r="D1" s="9" t="s">
        <v>166</v>
      </c>
      <c r="E1" s="9" t="s">
        <v>167</v>
      </c>
      <c r="F1" s="9" t="s">
        <v>168</v>
      </c>
      <c r="G1" s="9" t="s">
        <v>54</v>
      </c>
      <c r="H1" s="9" t="s">
        <v>55</v>
      </c>
      <c r="I1" s="9" t="s">
        <v>56</v>
      </c>
      <c r="J1" s="9" t="s">
        <v>57</v>
      </c>
    </row>
    <row r="2" customFormat="false" ht="23.85" hidden="false" customHeight="false" outlineLevel="0" collapsed="false">
      <c r="A2" s="14" t="s">
        <v>135</v>
      </c>
      <c r="B2" s="14" t="n">
        <v>1</v>
      </c>
      <c r="C2" s="14" t="s">
        <v>169</v>
      </c>
      <c r="D2" s="14" t="s">
        <v>169</v>
      </c>
      <c r="E2" s="14" t="s">
        <v>169</v>
      </c>
      <c r="F2" s="14"/>
      <c r="G2" s="16"/>
      <c r="H2" s="16"/>
      <c r="I2" s="16"/>
      <c r="J2" s="16"/>
    </row>
    <row r="3" customFormat="false" ht="23.85" hidden="false" customHeight="false" outlineLevel="0" collapsed="false">
      <c r="A3" s="14" t="s">
        <v>135</v>
      </c>
      <c r="B3" s="14" t="n">
        <v>2</v>
      </c>
      <c r="C3" s="14" t="s">
        <v>170</v>
      </c>
      <c r="D3" s="14" t="s">
        <v>171</v>
      </c>
      <c r="E3" s="14" t="s">
        <v>172</v>
      </c>
      <c r="F3" s="14"/>
      <c r="G3" s="16"/>
      <c r="H3" s="16"/>
      <c r="I3" s="16"/>
      <c r="J3" s="16"/>
    </row>
    <row r="4" customFormat="false" ht="23.85" hidden="false" customHeight="false" outlineLevel="0" collapsed="false">
      <c r="A4" s="14" t="s">
        <v>135</v>
      </c>
      <c r="B4" s="14" t="n">
        <v>3</v>
      </c>
      <c r="C4" s="14" t="s">
        <v>173</v>
      </c>
      <c r="D4" s="14" t="s">
        <v>174</v>
      </c>
      <c r="E4" s="14" t="s">
        <v>175</v>
      </c>
      <c r="F4" s="15" t="s">
        <v>176</v>
      </c>
      <c r="G4" s="16"/>
      <c r="H4" s="16"/>
      <c r="I4" s="16"/>
      <c r="J4" s="16"/>
    </row>
    <row r="5" customFormat="false" ht="23.85" hidden="false" customHeight="false" outlineLevel="0" collapsed="false">
      <c r="A5" s="14" t="s">
        <v>145</v>
      </c>
      <c r="B5" s="14" t="n">
        <v>1</v>
      </c>
      <c r="C5" s="14" t="s">
        <v>177</v>
      </c>
      <c r="D5" s="14" t="s">
        <v>178</v>
      </c>
      <c r="E5" s="14" t="s">
        <v>179</v>
      </c>
      <c r="F5" s="15" t="s">
        <v>180</v>
      </c>
      <c r="G5" s="16"/>
      <c r="H5" s="16"/>
      <c r="I5" s="16"/>
      <c r="J5" s="16"/>
    </row>
    <row r="6" customFormat="false" ht="35.05" hidden="false" customHeight="false" outlineLevel="0" collapsed="false">
      <c r="A6" s="14" t="s">
        <v>145</v>
      </c>
      <c r="B6" s="14" t="n">
        <v>2</v>
      </c>
      <c r="C6" s="14" t="s">
        <v>181</v>
      </c>
      <c r="D6" s="14" t="s">
        <v>182</v>
      </c>
      <c r="E6" s="14" t="s">
        <v>182</v>
      </c>
      <c r="F6" s="15" t="s">
        <v>183</v>
      </c>
      <c r="G6" s="16"/>
      <c r="H6" s="16"/>
      <c r="I6" s="16"/>
      <c r="J6" s="16"/>
    </row>
    <row r="7" customFormat="false" ht="15" hidden="false" customHeight="false" outlineLevel="0" collapsed="false">
      <c r="A7" s="14" t="s">
        <v>145</v>
      </c>
      <c r="B7" s="14" t="n">
        <v>3</v>
      </c>
      <c r="C7" s="14" t="s">
        <v>184</v>
      </c>
      <c r="D7" s="14" t="s">
        <v>185</v>
      </c>
      <c r="E7" s="14" t="s">
        <v>186</v>
      </c>
      <c r="F7" s="15" t="s">
        <v>187</v>
      </c>
      <c r="G7" s="16"/>
      <c r="H7" s="16"/>
      <c r="I7" s="16"/>
      <c r="J7" s="16"/>
    </row>
    <row r="8" customFormat="false" ht="23.85" hidden="false" customHeight="false" outlineLevel="0" collapsed="false">
      <c r="A8" s="14" t="s">
        <v>154</v>
      </c>
      <c r="B8" s="14" t="n">
        <v>1</v>
      </c>
      <c r="C8" s="14" t="s">
        <v>188</v>
      </c>
      <c r="D8" s="14" t="s">
        <v>189</v>
      </c>
      <c r="E8" s="14" t="s">
        <v>190</v>
      </c>
      <c r="F8" s="14"/>
      <c r="G8" s="16"/>
      <c r="H8" s="16"/>
      <c r="I8" s="16"/>
      <c r="J8" s="16"/>
    </row>
    <row r="9" customFormat="false" ht="15" hidden="false" customHeight="false" outlineLevel="0" collapsed="false">
      <c r="A9" s="14" t="s">
        <v>154</v>
      </c>
      <c r="B9" s="14" t="n">
        <v>2</v>
      </c>
      <c r="C9" s="14" t="s">
        <v>191</v>
      </c>
      <c r="D9" s="14" t="s">
        <v>192</v>
      </c>
      <c r="E9" s="14" t="s">
        <v>192</v>
      </c>
      <c r="F9" s="14"/>
      <c r="G9" s="16"/>
      <c r="H9" s="16"/>
      <c r="I9" s="16"/>
      <c r="J9" s="16"/>
    </row>
    <row r="10" customFormat="false" ht="15" hidden="false" customHeight="false" outlineLevel="0" collapsed="false">
      <c r="A10" s="14" t="s">
        <v>154</v>
      </c>
      <c r="B10" s="14" t="n">
        <v>3</v>
      </c>
      <c r="C10" s="14" t="s">
        <v>184</v>
      </c>
      <c r="D10" s="14" t="s">
        <v>185</v>
      </c>
      <c r="E10" s="14" t="s">
        <v>186</v>
      </c>
      <c r="F10" s="15" t="s">
        <v>187</v>
      </c>
      <c r="G10" s="16"/>
      <c r="H10" s="16"/>
      <c r="I10" s="16"/>
      <c r="J10" s="16"/>
    </row>
  </sheetData>
  <dataValidations count="1">
    <dataValidation allowBlank="true" errorStyle="stop" operator="between" showDropDown="false" showErrorMessage="false" showInputMessage="false" sqref="G2:G10"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4" min="3" style="0" width="8"/>
    <col collapsed="false" customWidth="true" hidden="false" outlineLevel="0" max="5" min="5" style="0" width="36"/>
    <col collapsed="false" customWidth="true" hidden="false" outlineLevel="0" max="6" min="6" style="0" width="12"/>
    <col collapsed="false" customWidth="true" hidden="false" outlineLevel="0" max="7" min="7" style="0" width="18"/>
    <col collapsed="false" customWidth="true" hidden="false" outlineLevel="0" max="8" min="8" style="0" width="52"/>
    <col collapsed="false" customWidth="true" hidden="false" outlineLevel="0" max="9" min="9" style="0" width="44"/>
    <col collapsed="false" customWidth="true" hidden="false" outlineLevel="0" max="10" min="10" style="0" width="16"/>
    <col collapsed="false" customWidth="true" hidden="false" outlineLevel="0" max="11" min="11" style="0" width="40"/>
    <col collapsed="false" customWidth="true" hidden="false" outlineLevel="0" max="12" min="12" style="0" width="12"/>
    <col collapsed="false" customWidth="true" hidden="false" outlineLevel="0" max="13" min="13" style="0" width="14"/>
  </cols>
  <sheetData>
    <row r="1" customFormat="false" ht="23.85" hidden="false" customHeight="false" outlineLevel="0" collapsed="false">
      <c r="A1" s="9" t="s">
        <v>41</v>
      </c>
      <c r="B1" s="9" t="s">
        <v>42</v>
      </c>
      <c r="C1" s="9" t="s">
        <v>193</v>
      </c>
      <c r="D1" s="9" t="s">
        <v>194</v>
      </c>
      <c r="E1" s="9" t="s">
        <v>195</v>
      </c>
      <c r="F1" s="9" t="s">
        <v>196</v>
      </c>
      <c r="G1" s="9" t="s">
        <v>197</v>
      </c>
      <c r="H1" s="9" t="s">
        <v>198</v>
      </c>
      <c r="I1" s="9" t="s">
        <v>168</v>
      </c>
      <c r="J1" s="9" t="s">
        <v>54</v>
      </c>
      <c r="K1" s="9" t="s">
        <v>55</v>
      </c>
      <c r="L1" s="9" t="s">
        <v>56</v>
      </c>
      <c r="M1" s="9" t="s">
        <v>57</v>
      </c>
    </row>
    <row r="2" customFormat="false" ht="23.85" hidden="false" customHeight="false" outlineLevel="0" collapsed="false">
      <c r="A2" s="14" t="n">
        <v>1</v>
      </c>
      <c r="B2" s="14" t="s">
        <v>199</v>
      </c>
      <c r="C2" s="14" t="s">
        <v>200</v>
      </c>
      <c r="D2" s="14" t="s">
        <v>201</v>
      </c>
      <c r="E2" s="14" t="s">
        <v>202</v>
      </c>
      <c r="F2" s="14" t="s">
        <v>203</v>
      </c>
      <c r="G2" s="14" t="s">
        <v>204</v>
      </c>
      <c r="H2" s="14" t="s">
        <v>205</v>
      </c>
      <c r="I2" s="14"/>
      <c r="J2" s="16"/>
      <c r="K2" s="16"/>
      <c r="L2" s="16"/>
      <c r="M2" s="16"/>
    </row>
    <row r="3" customFormat="false" ht="23.85" hidden="false" customHeight="false" outlineLevel="0" collapsed="false">
      <c r="A3" s="14" t="n">
        <v>2</v>
      </c>
      <c r="B3" s="14" t="s">
        <v>206</v>
      </c>
      <c r="C3" s="14" t="s">
        <v>207</v>
      </c>
      <c r="D3" s="14" t="s">
        <v>201</v>
      </c>
      <c r="E3" s="14" t="s">
        <v>208</v>
      </c>
      <c r="F3" s="14" t="s">
        <v>209</v>
      </c>
      <c r="G3" s="14" t="s">
        <v>210</v>
      </c>
      <c r="H3" s="14" t="s">
        <v>211</v>
      </c>
      <c r="I3" s="14"/>
      <c r="J3" s="16"/>
      <c r="K3" s="16"/>
      <c r="L3" s="16"/>
      <c r="M3" s="16"/>
    </row>
    <row r="4" customFormat="false" ht="23.85" hidden="false" customHeight="false" outlineLevel="0" collapsed="false">
      <c r="A4" s="14" t="n">
        <v>3</v>
      </c>
      <c r="B4" s="14" t="s">
        <v>212</v>
      </c>
      <c r="C4" s="14" t="s">
        <v>213</v>
      </c>
      <c r="D4" s="14" t="s">
        <v>214</v>
      </c>
      <c r="E4" s="14" t="s">
        <v>215</v>
      </c>
      <c r="F4" s="14" t="s">
        <v>216</v>
      </c>
      <c r="G4" s="14" t="s">
        <v>217</v>
      </c>
      <c r="H4" s="14" t="s">
        <v>218</v>
      </c>
      <c r="I4" s="14"/>
      <c r="J4" s="16"/>
      <c r="K4" s="16"/>
      <c r="L4" s="16"/>
      <c r="M4" s="16"/>
    </row>
    <row r="5" customFormat="false" ht="23.85" hidden="false" customHeight="false" outlineLevel="0" collapsed="false">
      <c r="A5" s="14" t="n">
        <v>4</v>
      </c>
      <c r="B5" s="14" t="s">
        <v>219</v>
      </c>
      <c r="C5" s="14" t="s">
        <v>220</v>
      </c>
      <c r="D5" s="14" t="s">
        <v>201</v>
      </c>
      <c r="E5" s="14" t="s">
        <v>221</v>
      </c>
      <c r="F5" s="14" t="s">
        <v>222</v>
      </c>
      <c r="G5" s="14" t="s">
        <v>223</v>
      </c>
      <c r="H5" s="14" t="s">
        <v>224</v>
      </c>
      <c r="I5" s="14"/>
      <c r="J5" s="16"/>
      <c r="K5" s="16"/>
      <c r="L5" s="16"/>
      <c r="M5" s="16"/>
    </row>
    <row r="6" customFormat="false" ht="23.85" hidden="false" customHeight="false" outlineLevel="0" collapsed="false">
      <c r="A6" s="14" t="n">
        <v>5</v>
      </c>
      <c r="B6" s="14" t="s">
        <v>225</v>
      </c>
      <c r="C6" s="14" t="s">
        <v>226</v>
      </c>
      <c r="D6" s="14" t="s">
        <v>201</v>
      </c>
      <c r="E6" s="14" t="s">
        <v>227</v>
      </c>
      <c r="F6" s="14" t="s">
        <v>228</v>
      </c>
      <c r="G6" s="14" t="s">
        <v>229</v>
      </c>
      <c r="H6" s="14" t="s">
        <v>230</v>
      </c>
      <c r="I6" s="14"/>
      <c r="J6" s="16"/>
      <c r="K6" s="16"/>
      <c r="L6" s="16"/>
      <c r="M6" s="16"/>
    </row>
    <row r="7" customFormat="false" ht="23.85" hidden="false" customHeight="false" outlineLevel="0" collapsed="false">
      <c r="A7" s="14" t="n">
        <v>6</v>
      </c>
      <c r="B7" s="14" t="s">
        <v>231</v>
      </c>
      <c r="C7" s="14" t="s">
        <v>232</v>
      </c>
      <c r="D7" s="14" t="s">
        <v>201</v>
      </c>
      <c r="E7" s="14" t="s">
        <v>233</v>
      </c>
      <c r="F7" s="14" t="s">
        <v>234</v>
      </c>
      <c r="G7" s="14" t="s">
        <v>235</v>
      </c>
      <c r="H7" s="14" t="s">
        <v>236</v>
      </c>
      <c r="I7" s="14"/>
      <c r="J7" s="16"/>
      <c r="K7" s="16"/>
      <c r="L7" s="16"/>
      <c r="M7" s="16"/>
    </row>
    <row r="8" customFormat="false" ht="23.85" hidden="false" customHeight="false" outlineLevel="0" collapsed="false">
      <c r="A8" s="14" t="n">
        <v>7</v>
      </c>
      <c r="B8" s="14" t="s">
        <v>237</v>
      </c>
      <c r="C8" s="14" t="s">
        <v>238</v>
      </c>
      <c r="D8" s="14" t="s">
        <v>201</v>
      </c>
      <c r="E8" s="14" t="s">
        <v>239</v>
      </c>
      <c r="F8" s="14" t="s">
        <v>240</v>
      </c>
      <c r="G8" s="14" t="s">
        <v>241</v>
      </c>
      <c r="H8" s="14" t="s">
        <v>242</v>
      </c>
      <c r="I8" s="14"/>
      <c r="J8" s="16"/>
      <c r="K8" s="16"/>
      <c r="L8" s="16"/>
      <c r="M8" s="16"/>
    </row>
    <row r="9" customFormat="false" ht="35.05" hidden="false" customHeight="false" outlineLevel="0" collapsed="false">
      <c r="A9" s="14" t="n">
        <v>8</v>
      </c>
      <c r="B9" s="14" t="s">
        <v>243</v>
      </c>
      <c r="C9" s="14" t="s">
        <v>244</v>
      </c>
      <c r="D9" s="14" t="s">
        <v>201</v>
      </c>
      <c r="E9" s="14" t="s">
        <v>245</v>
      </c>
      <c r="F9" s="14" t="s">
        <v>246</v>
      </c>
      <c r="G9" s="14"/>
      <c r="H9" s="14" t="s">
        <v>247</v>
      </c>
      <c r="I9" s="15" t="s">
        <v>248</v>
      </c>
      <c r="J9" s="16"/>
      <c r="K9" s="16"/>
      <c r="L9" s="16"/>
      <c r="M9" s="16"/>
    </row>
    <row r="10" customFormat="false" ht="23.85" hidden="false" customHeight="false" outlineLevel="0" collapsed="false">
      <c r="A10" s="14" t="n">
        <v>9</v>
      </c>
      <c r="B10" s="14" t="s">
        <v>249</v>
      </c>
      <c r="C10" s="14" t="s">
        <v>250</v>
      </c>
      <c r="D10" s="14" t="s">
        <v>214</v>
      </c>
      <c r="E10" s="14" t="s">
        <v>251</v>
      </c>
      <c r="F10" s="14" t="s">
        <v>252</v>
      </c>
      <c r="G10" s="14" t="s">
        <v>253</v>
      </c>
      <c r="H10" s="14" t="s">
        <v>254</v>
      </c>
      <c r="I10" s="14"/>
      <c r="J10" s="16"/>
      <c r="K10" s="16"/>
      <c r="L10" s="16"/>
      <c r="M10" s="16"/>
    </row>
    <row r="11" customFormat="false" ht="23.85" hidden="false" customHeight="false" outlineLevel="0" collapsed="false">
      <c r="A11" s="14" t="n">
        <v>10</v>
      </c>
      <c r="B11" s="14" t="s">
        <v>255</v>
      </c>
      <c r="C11" s="14" t="s">
        <v>256</v>
      </c>
      <c r="D11" s="14" t="s">
        <v>201</v>
      </c>
      <c r="E11" s="14" t="s">
        <v>257</v>
      </c>
      <c r="F11" s="14" t="s">
        <v>258</v>
      </c>
      <c r="G11" s="14" t="s">
        <v>259</v>
      </c>
      <c r="H11" s="14" t="s">
        <v>260</v>
      </c>
      <c r="I11" s="14"/>
      <c r="J11" s="16"/>
      <c r="K11" s="16"/>
      <c r="L11" s="16"/>
      <c r="M11" s="16"/>
    </row>
    <row r="12" customFormat="false" ht="35.05" hidden="false" customHeight="false" outlineLevel="0" collapsed="false">
      <c r="A12" s="14" t="n">
        <v>11</v>
      </c>
      <c r="B12" s="14" t="s">
        <v>261</v>
      </c>
      <c r="C12" s="14" t="s">
        <v>262</v>
      </c>
      <c r="D12" s="14" t="s">
        <v>201</v>
      </c>
      <c r="E12" s="14" t="s">
        <v>263</v>
      </c>
      <c r="F12" s="14" t="s">
        <v>264</v>
      </c>
      <c r="G12" s="14"/>
      <c r="H12" s="14" t="s">
        <v>265</v>
      </c>
      <c r="I12" s="15" t="s">
        <v>266</v>
      </c>
      <c r="J12" s="16"/>
      <c r="K12" s="16"/>
      <c r="L12" s="16"/>
      <c r="M12" s="16"/>
    </row>
    <row r="13" customFormat="false" ht="23.85" hidden="false" customHeight="false" outlineLevel="0" collapsed="false">
      <c r="A13" s="14" t="n">
        <v>12</v>
      </c>
      <c r="B13" s="14" t="s">
        <v>267</v>
      </c>
      <c r="C13" s="14" t="s">
        <v>268</v>
      </c>
      <c r="D13" s="14" t="s">
        <v>201</v>
      </c>
      <c r="E13" s="14" t="s">
        <v>269</v>
      </c>
      <c r="F13" s="14" t="s">
        <v>270</v>
      </c>
      <c r="G13" s="14" t="s">
        <v>271</v>
      </c>
      <c r="H13" s="14" t="s">
        <v>272</v>
      </c>
      <c r="I13" s="14"/>
      <c r="J13" s="16"/>
      <c r="K13" s="16"/>
      <c r="L13" s="16"/>
      <c r="M13" s="16"/>
    </row>
    <row r="15" customFormat="false" ht="15" hidden="false" customHeight="false" outlineLevel="0" collapsed="false">
      <c r="B15" s="5" t="s">
        <v>273</v>
      </c>
    </row>
    <row r="16" customFormat="false" ht="30" hidden="false" customHeight="true" outlineLevel="0" collapsed="false">
      <c r="B16" s="17" t="s">
        <v>274</v>
      </c>
      <c r="C16" s="17"/>
      <c r="D16" s="17"/>
      <c r="E16" s="17"/>
      <c r="F16" s="17"/>
      <c r="G16" s="17"/>
      <c r="H16" s="17"/>
    </row>
  </sheetData>
  <mergeCells count="1">
    <mergeCell ref="B16:H16"/>
  </mergeCells>
  <dataValidations count="1">
    <dataValidation allowBlank="true" errorStyle="stop" operator="between" showDropDown="false" showErrorMessage="false" showInputMessage="false" sqref="J2:J13"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2"/>
    <col collapsed="false" customWidth="true" hidden="false" outlineLevel="0" max="4" min="4" style="0" width="70"/>
    <col collapsed="false" customWidth="true" hidden="false" outlineLevel="0" max="6" min="5" style="0" width="16"/>
    <col collapsed="false" customWidth="true" hidden="false" outlineLevel="0" max="7" min="7" style="0" width="40"/>
    <col collapsed="false" customWidth="true" hidden="false" outlineLevel="0" max="8" min="8" style="0" width="12"/>
    <col collapsed="false" customWidth="true" hidden="false" outlineLevel="0" max="9" min="9" style="0" width="14"/>
  </cols>
  <sheetData>
    <row r="1" customFormat="false" ht="23.85" hidden="false" customHeight="false" outlineLevel="0" collapsed="false">
      <c r="A1" s="9" t="s">
        <v>275</v>
      </c>
      <c r="B1" s="9" t="s">
        <v>276</v>
      </c>
      <c r="C1" s="9" t="s">
        <v>277</v>
      </c>
      <c r="D1" s="9" t="s">
        <v>278</v>
      </c>
      <c r="E1" s="9" t="s">
        <v>279</v>
      </c>
      <c r="F1" s="9" t="s">
        <v>54</v>
      </c>
      <c r="G1" s="9" t="s">
        <v>55</v>
      </c>
      <c r="H1" s="9" t="s">
        <v>56</v>
      </c>
      <c r="I1" s="9" t="s">
        <v>57</v>
      </c>
    </row>
    <row r="2" customFormat="false" ht="23.85" hidden="false" customHeight="false" outlineLevel="0" collapsed="false">
      <c r="A2" s="14" t="s">
        <v>280</v>
      </c>
      <c r="B2" s="14" t="s">
        <v>281</v>
      </c>
      <c r="C2" s="14" t="n">
        <v>5</v>
      </c>
      <c r="D2" s="14" t="s">
        <v>282</v>
      </c>
      <c r="E2" s="16"/>
      <c r="F2" s="16"/>
      <c r="G2" s="16"/>
      <c r="H2" s="16"/>
      <c r="I2" s="16"/>
    </row>
    <row r="3" customFormat="false" ht="15" hidden="false" customHeight="false" outlineLevel="0" collapsed="false">
      <c r="A3" s="14" t="s">
        <v>280</v>
      </c>
      <c r="B3" s="14" t="s">
        <v>283</v>
      </c>
      <c r="C3" s="14" t="n">
        <v>4</v>
      </c>
      <c r="D3" s="14" t="s">
        <v>284</v>
      </c>
      <c r="E3" s="16"/>
      <c r="F3" s="16"/>
      <c r="G3" s="16"/>
      <c r="H3" s="16"/>
      <c r="I3" s="16"/>
    </row>
    <row r="4" customFormat="false" ht="15" hidden="false" customHeight="false" outlineLevel="0" collapsed="false">
      <c r="A4" s="14" t="s">
        <v>280</v>
      </c>
      <c r="B4" s="14" t="s">
        <v>285</v>
      </c>
      <c r="C4" s="14" t="n">
        <v>3</v>
      </c>
      <c r="D4" s="14" t="s">
        <v>286</v>
      </c>
      <c r="E4" s="16"/>
      <c r="F4" s="16"/>
      <c r="G4" s="16"/>
      <c r="H4" s="16"/>
      <c r="I4" s="16"/>
    </row>
    <row r="5" customFormat="false" ht="15" hidden="false" customHeight="false" outlineLevel="0" collapsed="false">
      <c r="A5" s="14" t="s">
        <v>280</v>
      </c>
      <c r="B5" s="14" t="s">
        <v>287</v>
      </c>
      <c r="C5" s="14" t="n">
        <v>2</v>
      </c>
      <c r="D5" s="14" t="s">
        <v>288</v>
      </c>
      <c r="E5" s="16"/>
      <c r="F5" s="16"/>
      <c r="G5" s="16"/>
      <c r="H5" s="16"/>
      <c r="I5" s="16"/>
    </row>
    <row r="6" customFormat="false" ht="15" hidden="false" customHeight="false" outlineLevel="0" collapsed="false">
      <c r="A6" s="14" t="s">
        <v>280</v>
      </c>
      <c r="B6" s="14" t="s">
        <v>289</v>
      </c>
      <c r="C6" s="14" t="n">
        <v>2</v>
      </c>
      <c r="D6" s="14" t="s">
        <v>290</v>
      </c>
      <c r="E6" s="16"/>
      <c r="F6" s="16"/>
      <c r="G6" s="16"/>
      <c r="H6" s="16"/>
      <c r="I6" s="16"/>
    </row>
    <row r="7" customFormat="false" ht="15" hidden="false" customHeight="false" outlineLevel="0" collapsed="false">
      <c r="A7" s="14" t="s">
        <v>280</v>
      </c>
      <c r="B7" s="14" t="s">
        <v>291</v>
      </c>
      <c r="C7" s="14" t="n">
        <v>3</v>
      </c>
      <c r="D7" s="14" t="s">
        <v>292</v>
      </c>
      <c r="E7" s="16"/>
      <c r="F7" s="16"/>
      <c r="G7" s="16"/>
      <c r="H7" s="16"/>
      <c r="I7" s="16"/>
    </row>
    <row r="8" customFormat="false" ht="15" hidden="false" customHeight="false" outlineLevel="0" collapsed="false">
      <c r="A8" s="14" t="s">
        <v>280</v>
      </c>
      <c r="B8" s="14" t="s">
        <v>293</v>
      </c>
      <c r="C8" s="14" t="n">
        <v>7</v>
      </c>
      <c r="D8" s="14" t="s">
        <v>294</v>
      </c>
      <c r="E8" s="16"/>
      <c r="F8" s="16"/>
      <c r="G8" s="16"/>
      <c r="H8" s="16"/>
      <c r="I8" s="16"/>
    </row>
    <row r="9" customFormat="false" ht="15" hidden="false" customHeight="false" outlineLevel="0" collapsed="false">
      <c r="A9" s="14" t="s">
        <v>280</v>
      </c>
      <c r="B9" s="14" t="s">
        <v>295</v>
      </c>
      <c r="C9" s="14" t="n">
        <v>2</v>
      </c>
      <c r="D9" s="14" t="s">
        <v>296</v>
      </c>
      <c r="E9" s="16"/>
      <c r="F9" s="16"/>
      <c r="G9" s="16"/>
      <c r="H9" s="16"/>
      <c r="I9" s="16"/>
    </row>
    <row r="10" customFormat="false" ht="23.85" hidden="false" customHeight="false" outlineLevel="0" collapsed="false">
      <c r="A10" s="14" t="s">
        <v>297</v>
      </c>
      <c r="B10" s="14" t="s">
        <v>298</v>
      </c>
      <c r="C10" s="14" t="n">
        <v>4</v>
      </c>
      <c r="D10" s="14" t="s">
        <v>299</v>
      </c>
      <c r="E10" s="16"/>
      <c r="F10" s="16"/>
      <c r="G10" s="16"/>
      <c r="H10" s="16"/>
      <c r="I10" s="16"/>
    </row>
    <row r="11" customFormat="false" ht="15" hidden="false" customHeight="false" outlineLevel="0" collapsed="false">
      <c r="A11" s="14" t="s">
        <v>297</v>
      </c>
      <c r="B11" s="14" t="s">
        <v>300</v>
      </c>
      <c r="C11" s="14" t="n">
        <v>1</v>
      </c>
      <c r="D11" s="14" t="s">
        <v>301</v>
      </c>
      <c r="E11" s="16"/>
      <c r="F11" s="16"/>
      <c r="G11" s="16"/>
      <c r="H11" s="16"/>
      <c r="I11" s="16"/>
    </row>
    <row r="12" customFormat="false" ht="15" hidden="false" customHeight="false" outlineLevel="0" collapsed="false">
      <c r="A12" s="14" t="s">
        <v>297</v>
      </c>
      <c r="B12" s="14" t="s">
        <v>302</v>
      </c>
      <c r="C12" s="14" t="n">
        <v>8</v>
      </c>
      <c r="D12" s="14" t="s">
        <v>303</v>
      </c>
      <c r="E12" s="16"/>
      <c r="F12" s="16"/>
      <c r="G12" s="16"/>
      <c r="H12" s="16"/>
      <c r="I12" s="16"/>
    </row>
    <row r="13" customFormat="false" ht="15" hidden="false" customHeight="false" outlineLevel="0" collapsed="false">
      <c r="A13" s="14" t="s">
        <v>297</v>
      </c>
      <c r="B13" s="14" t="s">
        <v>304</v>
      </c>
      <c r="C13" s="14" t="s">
        <v>305</v>
      </c>
      <c r="D13" s="14" t="s">
        <v>306</v>
      </c>
      <c r="E13" s="16"/>
      <c r="F13" s="16"/>
      <c r="G13" s="16"/>
      <c r="H13" s="16"/>
      <c r="I13" s="16"/>
    </row>
    <row r="14" customFormat="false" ht="15" hidden="false" customHeight="false" outlineLevel="0" collapsed="false">
      <c r="A14" s="14" t="s">
        <v>297</v>
      </c>
      <c r="B14" s="14" t="s">
        <v>307</v>
      </c>
      <c r="C14" s="14" t="n">
        <v>2</v>
      </c>
      <c r="D14" s="14" t="s">
        <v>308</v>
      </c>
      <c r="E14" s="16"/>
      <c r="F14" s="16"/>
      <c r="G14" s="16"/>
      <c r="H14" s="16"/>
      <c r="I14" s="16"/>
    </row>
    <row r="15" customFormat="false" ht="23.85" hidden="false" customHeight="false" outlineLevel="0" collapsed="false">
      <c r="A15" s="14" t="s">
        <v>297</v>
      </c>
      <c r="B15" s="14" t="s">
        <v>309</v>
      </c>
      <c r="C15" s="14" t="s">
        <v>310</v>
      </c>
      <c r="D15" s="14" t="s">
        <v>311</v>
      </c>
      <c r="E15" s="16"/>
      <c r="F15" s="16"/>
      <c r="G15" s="16"/>
      <c r="H15" s="16"/>
      <c r="I15" s="16"/>
    </row>
    <row r="16" customFormat="false" ht="15" hidden="false" customHeight="false" outlineLevel="0" collapsed="false">
      <c r="A16" s="14" t="s">
        <v>312</v>
      </c>
      <c r="B16" s="14" t="s">
        <v>313</v>
      </c>
      <c r="C16" s="14" t="s">
        <v>314</v>
      </c>
      <c r="D16" s="14" t="s">
        <v>315</v>
      </c>
      <c r="E16" s="16"/>
      <c r="F16" s="16"/>
      <c r="G16" s="16"/>
      <c r="H16" s="16"/>
      <c r="I16" s="16"/>
    </row>
    <row r="18" customFormat="false" ht="15" hidden="false" customHeight="false" outlineLevel="0" collapsed="false">
      <c r="A18" s="13" t="s">
        <v>316</v>
      </c>
    </row>
  </sheetData>
  <dataValidations count="1">
    <dataValidation allowBlank="true" errorStyle="stop" operator="between" showDropDown="false" showErrorMessage="false" showInputMessage="false" sqref="F2:F16" type="list">
      <formula1>"Keep,Change,Needs pilot data"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70"/>
    <col collapsed="false" customWidth="true" hidden="false" outlineLevel="0" max="4" min="4" style="0" width="34"/>
    <col collapsed="false" customWidth="true" hidden="false" outlineLevel="0" max="5" min="5" style="0" width="44"/>
    <col collapsed="false" customWidth="true" hidden="false" outlineLevel="0" max="6" min="6" style="0" width="16"/>
    <col collapsed="false" customWidth="true" hidden="false" outlineLevel="0" max="7" min="7" style="0" width="40"/>
    <col collapsed="false" customWidth="true" hidden="false" outlineLevel="0" max="8" min="8" style="0" width="12"/>
    <col collapsed="false" customWidth="true" hidden="false" outlineLevel="0" max="9" min="9" style="0" width="14"/>
  </cols>
  <sheetData>
    <row r="1" customFormat="false" ht="23.85" hidden="false" customHeight="false" outlineLevel="0" collapsed="false">
      <c r="A1" s="9" t="s">
        <v>317</v>
      </c>
      <c r="B1" s="9" t="s">
        <v>318</v>
      </c>
      <c r="C1" s="9" t="s">
        <v>319</v>
      </c>
      <c r="D1" s="9" t="s">
        <v>320</v>
      </c>
      <c r="E1" s="9" t="s">
        <v>168</v>
      </c>
      <c r="F1" s="9" t="s">
        <v>54</v>
      </c>
      <c r="G1" s="9" t="s">
        <v>55</v>
      </c>
      <c r="H1" s="9" t="s">
        <v>56</v>
      </c>
      <c r="I1" s="9" t="s">
        <v>57</v>
      </c>
    </row>
    <row r="2" customFormat="false" ht="23.85" hidden="false" customHeight="false" outlineLevel="0" collapsed="false">
      <c r="A2" s="14" t="s">
        <v>321</v>
      </c>
      <c r="B2" s="14" t="s">
        <v>322</v>
      </c>
      <c r="C2" s="14" t="s">
        <v>323</v>
      </c>
      <c r="D2" s="14" t="s">
        <v>324</v>
      </c>
      <c r="E2" s="14"/>
      <c r="F2" s="16"/>
      <c r="G2" s="16"/>
      <c r="H2" s="16"/>
      <c r="I2" s="16"/>
    </row>
    <row r="3" customFormat="false" ht="23.85" hidden="false" customHeight="false" outlineLevel="0" collapsed="false">
      <c r="A3" s="14" t="s">
        <v>321</v>
      </c>
      <c r="B3" s="14" t="s">
        <v>322</v>
      </c>
      <c r="C3" s="14" t="s">
        <v>325</v>
      </c>
      <c r="D3" s="14" t="s">
        <v>324</v>
      </c>
      <c r="E3" s="14"/>
      <c r="F3" s="16"/>
      <c r="G3" s="16"/>
      <c r="H3" s="16"/>
      <c r="I3" s="16"/>
    </row>
    <row r="4" customFormat="false" ht="15" hidden="false" customHeight="false" outlineLevel="0" collapsed="false">
      <c r="A4" s="14" t="s">
        <v>321</v>
      </c>
      <c r="B4" s="14" t="s">
        <v>326</v>
      </c>
      <c r="C4" s="14" t="s">
        <v>327</v>
      </c>
      <c r="D4" s="14" t="s">
        <v>328</v>
      </c>
      <c r="E4" s="14"/>
      <c r="F4" s="16"/>
      <c r="G4" s="16"/>
      <c r="H4" s="16"/>
      <c r="I4" s="16"/>
    </row>
    <row r="5" customFormat="false" ht="15" hidden="false" customHeight="false" outlineLevel="0" collapsed="false">
      <c r="A5" s="14" t="s">
        <v>321</v>
      </c>
      <c r="B5" s="14" t="s">
        <v>326</v>
      </c>
      <c r="C5" s="14" t="s">
        <v>329</v>
      </c>
      <c r="D5" s="14" t="s">
        <v>328</v>
      </c>
      <c r="E5" s="14"/>
      <c r="F5" s="16"/>
      <c r="G5" s="16"/>
      <c r="H5" s="16"/>
      <c r="I5" s="16"/>
    </row>
    <row r="6" customFormat="false" ht="15" hidden="false" customHeight="false" outlineLevel="0" collapsed="false">
      <c r="A6" s="14" t="s">
        <v>321</v>
      </c>
      <c r="B6" s="14" t="s">
        <v>326</v>
      </c>
      <c r="C6" s="14" t="s">
        <v>330</v>
      </c>
      <c r="D6" s="14" t="s">
        <v>328</v>
      </c>
      <c r="E6" s="15" t="s">
        <v>331</v>
      </c>
      <c r="F6" s="16"/>
      <c r="G6" s="16"/>
      <c r="H6" s="16"/>
      <c r="I6" s="16"/>
    </row>
    <row r="7" customFormat="false" ht="15" hidden="false" customHeight="false" outlineLevel="0" collapsed="false">
      <c r="A7" s="14" t="s">
        <v>321</v>
      </c>
      <c r="B7" s="14" t="s">
        <v>332</v>
      </c>
      <c r="C7" s="14" t="s">
        <v>333</v>
      </c>
      <c r="D7" s="14" t="s">
        <v>328</v>
      </c>
      <c r="E7" s="14"/>
      <c r="F7" s="16"/>
      <c r="G7" s="16"/>
      <c r="H7" s="16"/>
      <c r="I7" s="16"/>
    </row>
    <row r="8" customFormat="false" ht="35.05" hidden="false" customHeight="false" outlineLevel="0" collapsed="false">
      <c r="A8" s="14" t="s">
        <v>321</v>
      </c>
      <c r="B8" s="14" t="s">
        <v>334</v>
      </c>
      <c r="C8" s="14" t="s">
        <v>335</v>
      </c>
      <c r="D8" s="14" t="s">
        <v>336</v>
      </c>
      <c r="E8" s="15" t="s">
        <v>337</v>
      </c>
      <c r="F8" s="16"/>
      <c r="G8" s="16"/>
      <c r="H8" s="16"/>
      <c r="I8" s="16"/>
    </row>
    <row r="9" customFormat="false" ht="15" hidden="false" customHeight="false" outlineLevel="0" collapsed="false">
      <c r="A9" s="14" t="s">
        <v>321</v>
      </c>
      <c r="B9" s="14" t="s">
        <v>334</v>
      </c>
      <c r="C9" s="14" t="s">
        <v>338</v>
      </c>
      <c r="D9" s="14" t="s">
        <v>336</v>
      </c>
      <c r="E9" s="14"/>
      <c r="F9" s="16"/>
      <c r="G9" s="16"/>
      <c r="H9" s="16"/>
      <c r="I9" s="16"/>
    </row>
    <row r="10" customFormat="false" ht="23.85" hidden="false" customHeight="false" outlineLevel="0" collapsed="false">
      <c r="A10" s="14" t="s">
        <v>321</v>
      </c>
      <c r="B10" s="14" t="s">
        <v>334</v>
      </c>
      <c r="C10" s="14" t="s">
        <v>339</v>
      </c>
      <c r="D10" s="14" t="s">
        <v>336</v>
      </c>
      <c r="E10" s="14"/>
      <c r="F10" s="16"/>
      <c r="G10" s="16"/>
      <c r="H10" s="16"/>
      <c r="I10" s="16"/>
    </row>
    <row r="11" customFormat="false" ht="15" hidden="false" customHeight="false" outlineLevel="0" collapsed="false">
      <c r="A11" s="14" t="s">
        <v>321</v>
      </c>
      <c r="B11" s="14" t="s">
        <v>340</v>
      </c>
      <c r="C11" s="14" t="s">
        <v>341</v>
      </c>
      <c r="D11" s="14" t="s">
        <v>328</v>
      </c>
      <c r="E11" s="14"/>
      <c r="F11" s="16"/>
      <c r="G11" s="16"/>
      <c r="H11" s="16"/>
      <c r="I11" s="16"/>
    </row>
    <row r="12" customFormat="false" ht="15" hidden="false" customHeight="false" outlineLevel="0" collapsed="false">
      <c r="A12" s="14" t="s">
        <v>321</v>
      </c>
      <c r="B12" s="14" t="s">
        <v>342</v>
      </c>
      <c r="C12" s="14" t="s">
        <v>343</v>
      </c>
      <c r="D12" s="14" t="s">
        <v>328</v>
      </c>
      <c r="E12" s="14"/>
      <c r="F12" s="16"/>
      <c r="G12" s="16"/>
      <c r="H12" s="16"/>
      <c r="I12" s="16"/>
    </row>
    <row r="13" customFormat="false" ht="23.85" hidden="false" customHeight="false" outlineLevel="0" collapsed="false">
      <c r="A13" s="14" t="s">
        <v>321</v>
      </c>
      <c r="B13" s="14" t="s">
        <v>344</v>
      </c>
      <c r="C13" s="14" t="s">
        <v>345</v>
      </c>
      <c r="D13" s="14" t="s">
        <v>328</v>
      </c>
      <c r="E13" s="14"/>
      <c r="F13" s="16"/>
      <c r="G13" s="16"/>
      <c r="H13" s="16"/>
      <c r="I13" s="16"/>
    </row>
    <row r="14" customFormat="false" ht="23.85" hidden="false" customHeight="false" outlineLevel="0" collapsed="false">
      <c r="A14" s="14" t="s">
        <v>321</v>
      </c>
      <c r="B14" s="14" t="s">
        <v>344</v>
      </c>
      <c r="C14" s="14" t="s">
        <v>346</v>
      </c>
      <c r="D14" s="14" t="s">
        <v>328</v>
      </c>
      <c r="E14" s="14"/>
      <c r="F14" s="16"/>
      <c r="G14" s="16"/>
      <c r="H14" s="16"/>
      <c r="I14" s="16"/>
    </row>
    <row r="15" customFormat="false" ht="23.85" hidden="false" customHeight="false" outlineLevel="0" collapsed="false">
      <c r="A15" s="14" t="s">
        <v>321</v>
      </c>
      <c r="B15" s="14" t="s">
        <v>344</v>
      </c>
      <c r="C15" s="14" t="s">
        <v>347</v>
      </c>
      <c r="D15" s="14" t="s">
        <v>328</v>
      </c>
      <c r="E15" s="15" t="s">
        <v>348</v>
      </c>
      <c r="F15" s="16"/>
      <c r="G15" s="16"/>
      <c r="H15" s="16"/>
      <c r="I15" s="16"/>
    </row>
    <row r="16" customFormat="false" ht="15" hidden="false" customHeight="false" outlineLevel="0" collapsed="false">
      <c r="A16" s="14" t="s">
        <v>321</v>
      </c>
      <c r="B16" s="14" t="s">
        <v>344</v>
      </c>
      <c r="C16" s="14" t="s">
        <v>349</v>
      </c>
      <c r="D16" s="14" t="s">
        <v>328</v>
      </c>
      <c r="E16" s="14"/>
      <c r="F16" s="16"/>
      <c r="G16" s="16"/>
      <c r="H16" s="16"/>
      <c r="I16" s="16"/>
    </row>
    <row r="17" customFormat="false" ht="23.85" hidden="false" customHeight="false" outlineLevel="0" collapsed="false">
      <c r="A17" s="14" t="s">
        <v>350</v>
      </c>
      <c r="B17" s="14" t="s">
        <v>351</v>
      </c>
      <c r="C17" s="14" t="s">
        <v>352</v>
      </c>
      <c r="D17" s="14" t="s">
        <v>353</v>
      </c>
      <c r="E17" s="15" t="s">
        <v>354</v>
      </c>
      <c r="F17" s="16"/>
      <c r="G17" s="16"/>
      <c r="H17" s="16"/>
      <c r="I17" s="16"/>
    </row>
    <row r="18" customFormat="false" ht="15" hidden="false" customHeight="false" outlineLevel="0" collapsed="false">
      <c r="A18" s="14" t="s">
        <v>350</v>
      </c>
      <c r="B18" s="14" t="s">
        <v>355</v>
      </c>
      <c r="C18" s="14" t="s">
        <v>356</v>
      </c>
      <c r="D18" s="14" t="s">
        <v>353</v>
      </c>
      <c r="E18" s="14"/>
      <c r="F18" s="16"/>
      <c r="G18" s="16"/>
      <c r="H18" s="16"/>
      <c r="I18" s="16"/>
    </row>
    <row r="19" customFormat="false" ht="15" hidden="false" customHeight="false" outlineLevel="0" collapsed="false">
      <c r="A19" s="14" t="s">
        <v>350</v>
      </c>
      <c r="B19" s="14" t="s">
        <v>355</v>
      </c>
      <c r="C19" s="14" t="s">
        <v>357</v>
      </c>
      <c r="D19" s="14" t="s">
        <v>353</v>
      </c>
      <c r="E19" s="14"/>
      <c r="F19" s="16"/>
      <c r="G19" s="16"/>
      <c r="H19" s="16"/>
      <c r="I19" s="16"/>
    </row>
    <row r="20" customFormat="false" ht="15" hidden="false" customHeight="false" outlineLevel="0" collapsed="false">
      <c r="A20" s="14" t="s">
        <v>350</v>
      </c>
      <c r="B20" s="14" t="s">
        <v>355</v>
      </c>
      <c r="C20" s="14" t="s">
        <v>358</v>
      </c>
      <c r="D20" s="14" t="s">
        <v>353</v>
      </c>
      <c r="E20" s="14"/>
      <c r="F20" s="16"/>
      <c r="G20" s="16"/>
      <c r="H20" s="16"/>
      <c r="I20" s="16"/>
    </row>
    <row r="21" customFormat="false" ht="15" hidden="false" customHeight="false" outlineLevel="0" collapsed="false">
      <c r="A21" s="14" t="s">
        <v>350</v>
      </c>
      <c r="B21" s="14" t="s">
        <v>355</v>
      </c>
      <c r="C21" s="14" t="s">
        <v>359</v>
      </c>
      <c r="D21" s="14" t="s">
        <v>353</v>
      </c>
      <c r="E21" s="14"/>
      <c r="F21" s="16"/>
      <c r="G21" s="16"/>
      <c r="H21" s="16"/>
      <c r="I21" s="16"/>
    </row>
    <row r="22" customFormat="false" ht="15" hidden="false" customHeight="false" outlineLevel="0" collapsed="false">
      <c r="A22" s="14" t="s">
        <v>350</v>
      </c>
      <c r="B22" s="14" t="s">
        <v>355</v>
      </c>
      <c r="C22" s="14" t="s">
        <v>360</v>
      </c>
      <c r="D22" s="14" t="s">
        <v>353</v>
      </c>
      <c r="E22" s="14"/>
      <c r="F22" s="16"/>
      <c r="G22" s="16"/>
      <c r="H22" s="16"/>
      <c r="I22" s="16"/>
    </row>
    <row r="23" customFormat="false" ht="23.85" hidden="false" customHeight="false" outlineLevel="0" collapsed="false">
      <c r="A23" s="14" t="s">
        <v>350</v>
      </c>
      <c r="B23" s="14" t="s">
        <v>355</v>
      </c>
      <c r="C23" s="14" t="s">
        <v>361</v>
      </c>
      <c r="D23" s="14" t="s">
        <v>353</v>
      </c>
      <c r="E23" s="15" t="s">
        <v>362</v>
      </c>
      <c r="F23" s="16"/>
      <c r="G23" s="16"/>
      <c r="H23" s="16"/>
      <c r="I23" s="16"/>
    </row>
    <row r="24" customFormat="false" ht="15" hidden="false" customHeight="false" outlineLevel="0" collapsed="false">
      <c r="A24" s="14" t="s">
        <v>350</v>
      </c>
      <c r="B24" s="14" t="s">
        <v>355</v>
      </c>
      <c r="C24" s="14" t="s">
        <v>363</v>
      </c>
      <c r="D24" s="14" t="s">
        <v>353</v>
      </c>
      <c r="E24" s="14"/>
      <c r="F24" s="16"/>
      <c r="G24" s="16"/>
      <c r="H24" s="16"/>
      <c r="I24" s="16"/>
    </row>
    <row r="25" customFormat="false" ht="15" hidden="false" customHeight="false" outlineLevel="0" collapsed="false">
      <c r="A25" s="14" t="s">
        <v>350</v>
      </c>
      <c r="B25" s="14" t="s">
        <v>355</v>
      </c>
      <c r="C25" s="14" t="s">
        <v>364</v>
      </c>
      <c r="D25" s="14" t="s">
        <v>353</v>
      </c>
      <c r="E25" s="14"/>
      <c r="F25" s="16"/>
      <c r="G25" s="16"/>
      <c r="H25" s="16"/>
      <c r="I25" s="16"/>
    </row>
    <row r="26" customFormat="false" ht="23.85" hidden="false" customHeight="false" outlineLevel="0" collapsed="false">
      <c r="A26" s="14" t="s">
        <v>350</v>
      </c>
      <c r="B26" s="14" t="s">
        <v>355</v>
      </c>
      <c r="C26" s="14" t="s">
        <v>365</v>
      </c>
      <c r="D26" s="14" t="s">
        <v>353</v>
      </c>
      <c r="E26" s="14"/>
      <c r="F26" s="16"/>
      <c r="G26" s="16"/>
      <c r="H26" s="16"/>
      <c r="I26" s="16"/>
    </row>
    <row r="27" customFormat="false" ht="15" hidden="false" customHeight="false" outlineLevel="0" collapsed="false">
      <c r="A27" s="14" t="s">
        <v>350</v>
      </c>
      <c r="B27" s="14" t="s">
        <v>355</v>
      </c>
      <c r="C27" s="14" t="s">
        <v>366</v>
      </c>
      <c r="D27" s="14" t="s">
        <v>353</v>
      </c>
      <c r="E27" s="14"/>
      <c r="F27" s="16"/>
      <c r="G27" s="16"/>
      <c r="H27" s="16"/>
      <c r="I27" s="16"/>
    </row>
    <row r="28" customFormat="false" ht="15" hidden="false" customHeight="false" outlineLevel="0" collapsed="false">
      <c r="A28" s="14" t="s">
        <v>350</v>
      </c>
      <c r="B28" s="14" t="s">
        <v>367</v>
      </c>
      <c r="C28" s="14" t="s">
        <v>368</v>
      </c>
      <c r="D28" s="14" t="s">
        <v>353</v>
      </c>
      <c r="E28" s="14"/>
      <c r="F28" s="16"/>
      <c r="G28" s="16"/>
      <c r="H28" s="16"/>
      <c r="I28" s="16"/>
    </row>
    <row r="29" customFormat="false" ht="23.85" hidden="false" customHeight="false" outlineLevel="0" collapsed="false">
      <c r="A29" s="14" t="s">
        <v>350</v>
      </c>
      <c r="B29" s="14" t="s">
        <v>369</v>
      </c>
      <c r="C29" s="14" t="s">
        <v>370</v>
      </c>
      <c r="D29" s="14" t="s">
        <v>353</v>
      </c>
      <c r="E29" s="15" t="s">
        <v>371</v>
      </c>
      <c r="F29" s="16"/>
      <c r="G29" s="16"/>
      <c r="H29" s="16"/>
      <c r="I29" s="16"/>
    </row>
    <row r="30" customFormat="false" ht="15" hidden="false" customHeight="false" outlineLevel="0" collapsed="false">
      <c r="A30" s="14" t="s">
        <v>350</v>
      </c>
      <c r="B30" s="14" t="s">
        <v>372</v>
      </c>
      <c r="C30" s="14" t="s">
        <v>373</v>
      </c>
      <c r="D30" s="14" t="s">
        <v>353</v>
      </c>
      <c r="E30" s="14"/>
      <c r="F30" s="16"/>
      <c r="G30" s="16"/>
      <c r="H30" s="16"/>
      <c r="I30" s="16"/>
    </row>
    <row r="31" customFormat="false" ht="23.85" hidden="false" customHeight="false" outlineLevel="0" collapsed="false">
      <c r="A31" s="14" t="s">
        <v>350</v>
      </c>
      <c r="B31" s="14" t="s">
        <v>374</v>
      </c>
      <c r="C31" s="14" t="s">
        <v>375</v>
      </c>
      <c r="D31" s="14" t="s">
        <v>353</v>
      </c>
      <c r="E31" s="14"/>
      <c r="F31" s="16"/>
      <c r="G31" s="16"/>
      <c r="H31" s="16"/>
      <c r="I31" s="16"/>
    </row>
    <row r="32" customFormat="false" ht="23.85" hidden="false" customHeight="false" outlineLevel="0" collapsed="false">
      <c r="A32" s="14" t="s">
        <v>350</v>
      </c>
      <c r="B32" s="14" t="s">
        <v>376</v>
      </c>
      <c r="C32" s="14" t="s">
        <v>377</v>
      </c>
      <c r="D32" s="14" t="s">
        <v>353</v>
      </c>
      <c r="E32" s="14"/>
      <c r="F32" s="16"/>
      <c r="G32" s="16"/>
      <c r="H32" s="16"/>
      <c r="I32" s="16"/>
    </row>
    <row r="33" customFormat="false" ht="23.85" hidden="false" customHeight="false" outlineLevel="0" collapsed="false">
      <c r="A33" s="14" t="s">
        <v>350</v>
      </c>
      <c r="B33" s="14" t="s">
        <v>378</v>
      </c>
      <c r="C33" s="14" t="s">
        <v>379</v>
      </c>
      <c r="D33" s="14" t="s">
        <v>328</v>
      </c>
      <c r="E33" s="14"/>
      <c r="F33" s="16"/>
      <c r="G33" s="16"/>
      <c r="H33" s="16"/>
      <c r="I33" s="16"/>
    </row>
    <row r="34" customFormat="false" ht="15" hidden="false" customHeight="false" outlineLevel="0" collapsed="false">
      <c r="A34" s="14" t="s">
        <v>350</v>
      </c>
      <c r="B34" s="14" t="s">
        <v>378</v>
      </c>
      <c r="C34" s="14" t="s">
        <v>380</v>
      </c>
      <c r="D34" s="14" t="s">
        <v>328</v>
      </c>
      <c r="E34" s="14"/>
      <c r="F34" s="16"/>
      <c r="G34" s="16"/>
      <c r="H34" s="16"/>
      <c r="I34" s="16"/>
    </row>
    <row r="35" customFormat="false" ht="15" hidden="false" customHeight="false" outlineLevel="0" collapsed="false">
      <c r="A35" s="14" t="s">
        <v>350</v>
      </c>
      <c r="B35" s="14" t="s">
        <v>381</v>
      </c>
      <c r="C35" s="14" t="s">
        <v>382</v>
      </c>
      <c r="D35" s="14" t="s">
        <v>328</v>
      </c>
      <c r="E35" s="14"/>
      <c r="F35" s="16"/>
      <c r="G35" s="16"/>
      <c r="H35" s="16"/>
      <c r="I35" s="16"/>
    </row>
    <row r="36" customFormat="false" ht="23.85" hidden="false" customHeight="false" outlineLevel="0" collapsed="false">
      <c r="A36" s="14" t="s">
        <v>350</v>
      </c>
      <c r="B36" s="14" t="s">
        <v>383</v>
      </c>
      <c r="C36" s="14" t="s">
        <v>384</v>
      </c>
      <c r="D36" s="14" t="s">
        <v>328</v>
      </c>
      <c r="E36" s="14"/>
      <c r="F36" s="16"/>
      <c r="G36" s="16"/>
      <c r="H36" s="16"/>
      <c r="I36" s="16"/>
    </row>
    <row r="37" customFormat="false" ht="15" hidden="false" customHeight="false" outlineLevel="0" collapsed="false">
      <c r="A37" s="14" t="s">
        <v>350</v>
      </c>
      <c r="B37" s="14" t="s">
        <v>383</v>
      </c>
      <c r="C37" s="14" t="s">
        <v>385</v>
      </c>
      <c r="D37" s="14" t="s">
        <v>328</v>
      </c>
      <c r="E37" s="14"/>
      <c r="F37" s="16"/>
      <c r="G37" s="16"/>
      <c r="H37" s="16"/>
      <c r="I37" s="16"/>
    </row>
    <row r="38" customFormat="false" ht="15" hidden="false" customHeight="false" outlineLevel="0" collapsed="false">
      <c r="A38" s="14" t="s">
        <v>350</v>
      </c>
      <c r="B38" s="14" t="s">
        <v>383</v>
      </c>
      <c r="C38" s="14" t="s">
        <v>386</v>
      </c>
      <c r="D38" s="14" t="s">
        <v>328</v>
      </c>
      <c r="E38" s="14"/>
      <c r="F38" s="16"/>
      <c r="G38" s="16"/>
      <c r="H38" s="16"/>
      <c r="I38" s="16"/>
    </row>
    <row r="39" customFormat="false" ht="15" hidden="false" customHeight="false" outlineLevel="0" collapsed="false">
      <c r="A39" s="14" t="s">
        <v>350</v>
      </c>
      <c r="B39" s="14" t="s">
        <v>383</v>
      </c>
      <c r="C39" s="14" t="s">
        <v>387</v>
      </c>
      <c r="D39" s="14" t="s">
        <v>328</v>
      </c>
      <c r="E39" s="14"/>
      <c r="F39" s="16"/>
      <c r="G39" s="16"/>
      <c r="H39" s="16"/>
      <c r="I39" s="16"/>
    </row>
    <row r="40" customFormat="false" ht="23.85" hidden="false" customHeight="false" outlineLevel="0" collapsed="false">
      <c r="A40" s="14" t="s">
        <v>350</v>
      </c>
      <c r="B40" s="14" t="s">
        <v>388</v>
      </c>
      <c r="C40" s="14" t="s">
        <v>389</v>
      </c>
      <c r="D40" s="14" t="s">
        <v>353</v>
      </c>
      <c r="E40" s="14"/>
      <c r="F40" s="16"/>
      <c r="G40" s="16"/>
      <c r="H40" s="16"/>
      <c r="I40" s="16"/>
    </row>
    <row r="41" customFormat="false" ht="23.85" hidden="false" customHeight="false" outlineLevel="0" collapsed="false">
      <c r="A41" s="14" t="s">
        <v>350</v>
      </c>
      <c r="B41" s="14" t="s">
        <v>390</v>
      </c>
      <c r="C41" s="14" t="s">
        <v>391</v>
      </c>
      <c r="D41" s="14" t="s">
        <v>353</v>
      </c>
      <c r="E41" s="14"/>
      <c r="F41" s="16"/>
      <c r="G41" s="16"/>
      <c r="H41" s="16"/>
      <c r="I41" s="16"/>
    </row>
  </sheetData>
  <dataValidations count="1">
    <dataValidation allowBlank="true" errorStyle="stop" operator="between" showDropDown="false" showErrorMessage="false" showInputMessage="false" sqref="F2:F41"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40"/>
    <col collapsed="false" customWidth="true" hidden="false" outlineLevel="0" max="4" min="4" style="0" width="60"/>
    <col collapsed="false" customWidth="true" hidden="false" outlineLevel="0" max="5" min="5" style="0" width="46"/>
    <col collapsed="false" customWidth="true" hidden="false" outlineLevel="0" max="6" min="6" style="0" width="16"/>
    <col collapsed="false" customWidth="true" hidden="false" outlineLevel="0" max="7" min="7" style="0" width="40"/>
    <col collapsed="false" customWidth="true" hidden="false" outlineLevel="0" max="8" min="8" style="0" width="12"/>
    <col collapsed="false" customWidth="true" hidden="false" outlineLevel="0" max="9" min="9" style="0" width="14"/>
  </cols>
  <sheetData>
    <row r="1" customFormat="false" ht="23.85" hidden="false" customHeight="false" outlineLevel="0" collapsed="false">
      <c r="A1" s="9" t="s">
        <v>392</v>
      </c>
      <c r="B1" s="9" t="s">
        <v>393</v>
      </c>
      <c r="C1" s="9" t="s">
        <v>394</v>
      </c>
      <c r="D1" s="9" t="s">
        <v>395</v>
      </c>
      <c r="E1" s="9" t="s">
        <v>396</v>
      </c>
      <c r="F1" s="9" t="s">
        <v>54</v>
      </c>
      <c r="G1" s="9" t="s">
        <v>55</v>
      </c>
      <c r="H1" s="9" t="s">
        <v>56</v>
      </c>
      <c r="I1" s="9" t="s">
        <v>57</v>
      </c>
    </row>
    <row r="2" customFormat="false" ht="35.05" hidden="false" customHeight="false" outlineLevel="0" collapsed="false">
      <c r="A2" s="14" t="s">
        <v>397</v>
      </c>
      <c r="B2" s="14" t="s">
        <v>398</v>
      </c>
      <c r="C2" s="14" t="s">
        <v>399</v>
      </c>
      <c r="D2" s="15" t="s">
        <v>400</v>
      </c>
      <c r="E2" s="14" t="s">
        <v>401</v>
      </c>
      <c r="F2" s="16"/>
      <c r="G2" s="16"/>
      <c r="H2" s="16"/>
      <c r="I2" s="16"/>
    </row>
    <row r="3" customFormat="false" ht="35.05" hidden="false" customHeight="false" outlineLevel="0" collapsed="false">
      <c r="A3" s="14" t="s">
        <v>402</v>
      </c>
      <c r="B3" s="14" t="s">
        <v>403</v>
      </c>
      <c r="C3" s="14" t="s">
        <v>404</v>
      </c>
      <c r="D3" s="15" t="s">
        <v>405</v>
      </c>
      <c r="E3" s="14" t="s">
        <v>406</v>
      </c>
      <c r="F3" s="16"/>
      <c r="G3" s="16"/>
      <c r="H3" s="16"/>
      <c r="I3" s="16"/>
    </row>
    <row r="4" customFormat="false" ht="35.05" hidden="false" customHeight="false" outlineLevel="0" collapsed="false">
      <c r="A4" s="14" t="s">
        <v>407</v>
      </c>
      <c r="B4" s="14" t="s">
        <v>408</v>
      </c>
      <c r="C4" s="14" t="s">
        <v>409</v>
      </c>
      <c r="D4" s="15" t="s">
        <v>410</v>
      </c>
      <c r="E4" s="14" t="s">
        <v>411</v>
      </c>
      <c r="F4" s="16"/>
      <c r="G4" s="16"/>
      <c r="H4" s="16"/>
      <c r="I4" s="16"/>
    </row>
    <row r="5" customFormat="false" ht="23.85" hidden="false" customHeight="false" outlineLevel="0" collapsed="false">
      <c r="A5" s="14" t="s">
        <v>412</v>
      </c>
      <c r="B5" s="14" t="s">
        <v>413</v>
      </c>
      <c r="C5" s="14" t="s">
        <v>414</v>
      </c>
      <c r="D5" s="15" t="s">
        <v>415</v>
      </c>
      <c r="E5" s="14" t="s">
        <v>416</v>
      </c>
      <c r="F5" s="16"/>
      <c r="G5" s="16"/>
      <c r="H5" s="16"/>
      <c r="I5" s="16"/>
    </row>
    <row r="6" customFormat="false" ht="23.85" hidden="false" customHeight="false" outlineLevel="0" collapsed="false">
      <c r="A6" s="14" t="s">
        <v>417</v>
      </c>
      <c r="B6" s="14" t="s">
        <v>418</v>
      </c>
      <c r="C6" s="14" t="s">
        <v>419</v>
      </c>
      <c r="D6" s="15" t="s">
        <v>420</v>
      </c>
      <c r="E6" s="14" t="s">
        <v>421</v>
      </c>
      <c r="F6" s="16"/>
      <c r="G6" s="16"/>
      <c r="H6" s="16"/>
      <c r="I6" s="16"/>
    </row>
    <row r="7" customFormat="false" ht="23.85" hidden="false" customHeight="false" outlineLevel="0" collapsed="false">
      <c r="A7" s="14" t="s">
        <v>422</v>
      </c>
      <c r="B7" s="14" t="s">
        <v>423</v>
      </c>
      <c r="C7" s="14" t="s">
        <v>173</v>
      </c>
      <c r="D7" s="15" t="s">
        <v>424</v>
      </c>
      <c r="E7" s="14" t="s">
        <v>425</v>
      </c>
      <c r="F7" s="16"/>
      <c r="G7" s="16"/>
      <c r="H7" s="16"/>
      <c r="I7" s="16"/>
    </row>
    <row r="8" customFormat="false" ht="35.05" hidden="false" customHeight="false" outlineLevel="0" collapsed="false">
      <c r="A8" s="14" t="s">
        <v>426</v>
      </c>
      <c r="B8" s="14" t="s">
        <v>427</v>
      </c>
      <c r="C8" s="14" t="s">
        <v>428</v>
      </c>
      <c r="D8" s="15" t="s">
        <v>429</v>
      </c>
      <c r="E8" s="14" t="s">
        <v>430</v>
      </c>
      <c r="F8" s="16"/>
      <c r="G8" s="16"/>
      <c r="H8" s="16"/>
      <c r="I8" s="16"/>
    </row>
    <row r="9" customFormat="false" ht="46.25" hidden="false" customHeight="false" outlineLevel="0" collapsed="false">
      <c r="A9" s="14" t="s">
        <v>431</v>
      </c>
      <c r="B9" s="14" t="s">
        <v>432</v>
      </c>
      <c r="C9" s="14" t="s">
        <v>433</v>
      </c>
      <c r="D9" s="15" t="s">
        <v>434</v>
      </c>
      <c r="E9" s="14" t="s">
        <v>435</v>
      </c>
      <c r="F9" s="16"/>
      <c r="G9" s="16"/>
      <c r="H9" s="16"/>
      <c r="I9" s="16"/>
    </row>
  </sheetData>
  <dataValidations count="1">
    <dataValidation allowBlank="true" errorStyle="stop" operator="between" showDropDown="false" showErrorMessage="false" showInputMessage="false" sqref="F2:F9" type="list">
      <formula1>"Approve,Approve with changes,Reject,Needs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2026-10-14T05:41:54Z</dcterms:created>
  <dc:creator>openpyxl</dc:creator>
  <dc:description/>
  <dc:language>en-US</dc:language>
  <cp:lastModifiedBy/>
  <dcterms:modified xsi:type="dcterms:W3CDTF">2026-10-14T05:41:54Z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